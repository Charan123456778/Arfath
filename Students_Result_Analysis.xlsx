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ccbbb69cf5248441/Desktop/"/>
    </mc:Choice>
  </mc:AlternateContent>
  <xr:revisionPtr revIDLastSave="325" documentId="8_{A2EA17E2-9A4B-4866-B9AA-A134EA4A12A0}" xr6:coauthVersionLast="47" xr6:coauthVersionMax="47" xr10:uidLastSave="{1646DD49-317D-4A79-B94D-A2E2062A739B}"/>
  <bookViews>
    <workbookView xWindow="-120" yWindow="-120" windowWidth="29040" windowHeight="17520" xr2:uid="{00000000-000D-0000-FFFF-FFFF00000000}"/>
  </bookViews>
  <sheets>
    <sheet name="raw data" sheetId="1" r:id="rId1"/>
    <sheet name="students analysis" sheetId="2" r:id="rId2"/>
    <sheet name="subjects summary data" sheetId="3" r:id="rId3"/>
    <sheet name="students performanc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9" i="1" l="1"/>
  <c r="D59" i="1"/>
  <c r="E59" i="1"/>
  <c r="B59" i="1"/>
  <c r="F2" i="1" l="1"/>
  <c r="B57" i="4" l="1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C12" i="3"/>
  <c r="C11" i="3"/>
  <c r="C10" i="3"/>
  <c r="C9" i="3"/>
  <c r="C8" i="3"/>
  <c r="C6" i="3"/>
  <c r="C5" i="3"/>
  <c r="C4" i="3"/>
  <c r="D6" i="3"/>
  <c r="D5" i="3"/>
  <c r="D4" i="3"/>
  <c r="D11" i="3"/>
  <c r="D10" i="3"/>
  <c r="D9" i="3"/>
  <c r="D8" i="3"/>
  <c r="D12" i="3"/>
  <c r="E12" i="3"/>
  <c r="E13" i="3"/>
  <c r="E11" i="3"/>
  <c r="E10" i="3"/>
  <c r="E9" i="3"/>
  <c r="E8" i="3"/>
  <c r="E6" i="3"/>
  <c r="E5" i="3"/>
  <c r="E4" i="3"/>
  <c r="F12" i="3"/>
  <c r="F11" i="3"/>
  <c r="F10" i="3"/>
  <c r="F9" i="3"/>
  <c r="F8" i="3"/>
  <c r="F6" i="3"/>
  <c r="F5" i="3"/>
  <c r="F4" i="3"/>
  <c r="G12" i="3"/>
  <c r="G11" i="3"/>
  <c r="G10" i="3"/>
  <c r="G9" i="3"/>
  <c r="G8" i="3"/>
  <c r="G6" i="3"/>
  <c r="G5" i="3"/>
  <c r="G4" i="3"/>
  <c r="G3" i="3"/>
  <c r="F3" i="3"/>
  <c r="E3" i="3"/>
  <c r="D3" i="3"/>
  <c r="C3" i="3"/>
  <c r="G7" i="3"/>
  <c r="F7" i="3"/>
  <c r="E7" i="3"/>
  <c r="D7" i="3"/>
  <c r="C7" i="3"/>
  <c r="G13" i="3"/>
  <c r="F13" i="3"/>
  <c r="D13" i="3"/>
  <c r="C13" i="3"/>
  <c r="G2" i="3"/>
  <c r="F2" i="3"/>
  <c r="E2" i="3" l="1"/>
  <c r="D2" i="3"/>
  <c r="C2" i="3"/>
  <c r="B7" i="3"/>
  <c r="B13" i="3"/>
  <c r="B12" i="3"/>
  <c r="B11" i="3"/>
  <c r="B10" i="3"/>
  <c r="B9" i="3"/>
  <c r="B8" i="3"/>
  <c r="B6" i="3"/>
  <c r="B5" i="3"/>
  <c r="B4" i="3"/>
  <c r="B3" i="3"/>
  <c r="B2" i="3"/>
  <c r="B3" i="2"/>
  <c r="C3" i="2" s="1"/>
  <c r="B4" i="2"/>
  <c r="C4" i="2" s="1"/>
  <c r="B5" i="2"/>
  <c r="C5" i="2" s="1"/>
  <c r="B6" i="2"/>
  <c r="C6" i="2" s="1"/>
  <c r="B7" i="2"/>
  <c r="C7" i="2" s="1"/>
  <c r="B8" i="2"/>
  <c r="C8" i="2" s="1"/>
  <c r="B9" i="2"/>
  <c r="C9" i="2" s="1"/>
  <c r="B10" i="2"/>
  <c r="C10" i="2" s="1"/>
  <c r="B11" i="2"/>
  <c r="C11" i="2" s="1"/>
  <c r="B12" i="2"/>
  <c r="C12" i="2" s="1"/>
  <c r="B13" i="2"/>
  <c r="C13" i="2" s="1"/>
  <c r="B14" i="2"/>
  <c r="C14" i="2" s="1"/>
  <c r="B15" i="2"/>
  <c r="C15" i="2" s="1"/>
  <c r="B16" i="2"/>
  <c r="C16" i="2" s="1"/>
  <c r="B17" i="2"/>
  <c r="C17" i="2" s="1"/>
  <c r="B18" i="2"/>
  <c r="C18" i="2" s="1"/>
  <c r="B19" i="2"/>
  <c r="C19" i="2" s="1"/>
  <c r="B20" i="2"/>
  <c r="C20" i="2" s="1"/>
  <c r="B21" i="2"/>
  <c r="C21" i="2" s="1"/>
  <c r="B22" i="2"/>
  <c r="C22" i="2" s="1"/>
  <c r="B23" i="2"/>
  <c r="C23" i="2" s="1"/>
  <c r="B24" i="2"/>
  <c r="C24" i="2" s="1"/>
  <c r="B25" i="2"/>
  <c r="C25" i="2" s="1"/>
  <c r="B26" i="2"/>
  <c r="C26" i="2" s="1"/>
  <c r="B27" i="2"/>
  <c r="C27" i="2" s="1"/>
  <c r="B28" i="2"/>
  <c r="C28" i="2" s="1"/>
  <c r="B29" i="2"/>
  <c r="C29" i="2" s="1"/>
  <c r="B30" i="2"/>
  <c r="C30" i="2" s="1"/>
  <c r="B31" i="2"/>
  <c r="C31" i="2" s="1"/>
  <c r="B32" i="2"/>
  <c r="C32" i="2" s="1"/>
  <c r="B33" i="2"/>
  <c r="C33" i="2" s="1"/>
  <c r="B34" i="2"/>
  <c r="C34" i="2" s="1"/>
  <c r="B35" i="2"/>
  <c r="C35" i="2" s="1"/>
  <c r="B36" i="2"/>
  <c r="C36" i="2" s="1"/>
  <c r="B37" i="2"/>
  <c r="C37" i="2" s="1"/>
  <c r="B38" i="2"/>
  <c r="C38" i="2" s="1"/>
  <c r="B39" i="2"/>
  <c r="C39" i="2" s="1"/>
  <c r="B40" i="2"/>
  <c r="C40" i="2" s="1"/>
  <c r="B41" i="2"/>
  <c r="C41" i="2" s="1"/>
  <c r="B42" i="2"/>
  <c r="C42" i="2" s="1"/>
  <c r="B43" i="2"/>
  <c r="C43" i="2" s="1"/>
  <c r="B44" i="2"/>
  <c r="C44" i="2" s="1"/>
  <c r="B45" i="2"/>
  <c r="C45" i="2" s="1"/>
  <c r="B46" i="2"/>
  <c r="C46" i="2" s="1"/>
  <c r="B47" i="2"/>
  <c r="C47" i="2" s="1"/>
  <c r="B48" i="2"/>
  <c r="C48" i="2" s="1"/>
  <c r="B49" i="2"/>
  <c r="C49" i="2" s="1"/>
  <c r="B50" i="2"/>
  <c r="C50" i="2" s="1"/>
  <c r="B51" i="2"/>
  <c r="C51" i="2" s="1"/>
  <c r="B52" i="2"/>
  <c r="C52" i="2" s="1"/>
  <c r="B53" i="2"/>
  <c r="C53" i="2" s="1"/>
  <c r="B54" i="2"/>
  <c r="C54" i="2" s="1"/>
  <c r="B55" i="2"/>
  <c r="B56" i="2"/>
  <c r="C56" i="2" s="1"/>
  <c r="B57" i="2"/>
  <c r="C57" i="2" s="1"/>
  <c r="B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G5" i="2" l="1"/>
  <c r="F5" i="2"/>
  <c r="C2" i="2"/>
  <c r="D55" i="2"/>
  <c r="C55" i="2"/>
  <c r="D51" i="2"/>
  <c r="D47" i="2"/>
  <c r="E2" i="2"/>
  <c r="D39" i="2"/>
  <c r="D27" i="2"/>
  <c r="D15" i="2"/>
  <c r="D3" i="2"/>
  <c r="D54" i="2"/>
  <c r="D50" i="2"/>
  <c r="D46" i="2"/>
  <c r="D42" i="2"/>
  <c r="D38" i="2"/>
  <c r="D34" i="2"/>
  <c r="D30" i="2"/>
  <c r="D26" i="2"/>
  <c r="D22" i="2"/>
  <c r="D18" i="2"/>
  <c r="D14" i="2"/>
  <c r="D10" i="2"/>
  <c r="D6" i="2"/>
  <c r="D35" i="2"/>
  <c r="D23" i="2"/>
  <c r="D11" i="2"/>
  <c r="D57" i="2"/>
  <c r="D53" i="2"/>
  <c r="D49" i="2"/>
  <c r="D45" i="2"/>
  <c r="D41" i="2"/>
  <c r="D37" i="2"/>
  <c r="D33" i="2"/>
  <c r="D29" i="2"/>
  <c r="D25" i="2"/>
  <c r="D21" i="2"/>
  <c r="D17" i="2"/>
  <c r="D13" i="2"/>
  <c r="D9" i="2"/>
  <c r="D5" i="2"/>
  <c r="D43" i="2"/>
  <c r="D31" i="2"/>
  <c r="D19" i="2"/>
  <c r="D7" i="2"/>
  <c r="D56" i="2"/>
  <c r="D52" i="2"/>
  <c r="D48" i="2"/>
  <c r="D44" i="2"/>
  <c r="D40" i="2"/>
  <c r="D36" i="2"/>
  <c r="D32" i="2"/>
  <c r="D28" i="2"/>
  <c r="D24" i="2"/>
  <c r="D20" i="2"/>
  <c r="D16" i="2"/>
  <c r="D12" i="2"/>
  <c r="D8" i="2"/>
  <c r="D4" i="2"/>
  <c r="F2" i="2"/>
  <c r="G2" i="2"/>
  <c r="D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emmyslim</author>
  </authors>
  <commentList>
    <comment ref="B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emmyslim:</t>
        </r>
        <r>
          <rPr>
            <sz val="9"/>
            <color indexed="81"/>
            <rFont val="Tahoma"/>
            <family val="2"/>
          </rPr>
          <t xml:space="preserve">
The green fill shows students' average scores that are ≥ 50
</t>
        </r>
      </text>
    </comment>
    <comment ref="C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emmyslim:</t>
        </r>
        <r>
          <rPr>
            <sz val="9"/>
            <color indexed="81"/>
            <rFont val="Tahoma"/>
            <family val="2"/>
          </rPr>
          <t xml:space="preserve">
A NestedIF Function() was used to categorize students' average (A, B, C, D, F)</t>
        </r>
      </text>
    </comment>
    <comment ref="D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emmyslim:</t>
        </r>
        <r>
          <rPr>
            <sz val="9"/>
            <color indexed="81"/>
            <rFont val="Tahoma"/>
            <family val="2"/>
          </rPr>
          <t xml:space="preserve">
The Rank() function was used to return students' performance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emmyslim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emmyslim:</t>
        </r>
        <r>
          <rPr>
            <sz val="9"/>
            <color indexed="81"/>
            <rFont val="Tahoma"/>
            <family val="2"/>
          </rPr>
          <t xml:space="preserve">
Summary Statistics for each subject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emmyslim</author>
  </authors>
  <commentList>
    <comment ref="C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emmyslim:</t>
        </r>
        <r>
          <rPr>
            <sz val="9"/>
            <color indexed="81"/>
            <rFont val="Tahoma"/>
            <family val="2"/>
          </rPr>
          <t xml:space="preserve">
A 50% pass mark created to show students' average performance in the chart</t>
        </r>
      </text>
    </comment>
  </commentList>
</comments>
</file>

<file path=xl/sharedStrings.xml><?xml version="1.0" encoding="utf-8"?>
<sst xmlns="http://schemas.openxmlformats.org/spreadsheetml/2006/main" count="38" uniqueCount="30">
  <si>
    <t>Student_ID</t>
  </si>
  <si>
    <t>Maths</t>
  </si>
  <si>
    <t>English</t>
  </si>
  <si>
    <t>Economics</t>
  </si>
  <si>
    <t>Government</t>
  </si>
  <si>
    <t>Literature in Eng</t>
  </si>
  <si>
    <t>Computer Sci</t>
  </si>
  <si>
    <t>Geography</t>
  </si>
  <si>
    <t>CRS</t>
  </si>
  <si>
    <t>Agric Sci</t>
  </si>
  <si>
    <t>Commerce</t>
  </si>
  <si>
    <t>Marketing</t>
  </si>
  <si>
    <t>Civic Edu</t>
  </si>
  <si>
    <t>Students Avg</t>
  </si>
  <si>
    <t>Position</t>
  </si>
  <si>
    <t>STATISTICS</t>
  </si>
  <si>
    <t>Mean</t>
  </si>
  <si>
    <t>Median</t>
  </si>
  <si>
    <t>Q1 (Quartile)</t>
  </si>
  <si>
    <t>Q3(Quartile)</t>
  </si>
  <si>
    <t>Highest Score</t>
  </si>
  <si>
    <t>Lowest Score</t>
  </si>
  <si>
    <t>Total Students</t>
  </si>
  <si>
    <t>Grade</t>
  </si>
  <si>
    <t>Pass Mark</t>
  </si>
  <si>
    <r>
      <t xml:space="preserve">% of Students with total average </t>
    </r>
    <r>
      <rPr>
        <b/>
        <sz val="11"/>
        <color theme="1"/>
        <rFont val="Calibri"/>
        <family val="2"/>
      </rPr>
      <t>≥ 50</t>
    </r>
  </si>
  <si>
    <t>% of Students with total average &lt; 50</t>
  </si>
  <si>
    <t>Total Students' that scored above average</t>
  </si>
  <si>
    <t>Total Students' that score below average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</si>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</sst>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16" fillId="0" borderId="0" xfId="0" applyFont="1"/>
    <xf numFmtId="2" fontId="0" fillId="0" borderId="0" xfId="0" applyNumberFormat="1"/>
    <xf numFmtId="1" fontId="0" fillId="0" borderId="0" xfId="0" applyNumberFormat="1"/>
    <xf numFmtId="9" fontId="0" fillId="0" borderId="0" xfId="42" applyFont="1"/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6" fillId="0" borderId="0" xfId="0" applyFont="1" applyAlignment="1">
      <alignment horizontal="left"/>
    </xf>
    <xf numFmtId="1" fontId="16" fillId="0" borderId="0" xfId="0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6">
                    <a:lumMod val="50000"/>
                  </a:schemeClr>
                </a:solidFill>
              </a:rPr>
              <a:t>Students Result</a:t>
            </a:r>
            <a:r>
              <a:rPr lang="en-US" b="1" baseline="0">
                <a:solidFill>
                  <a:schemeClr val="accent6">
                    <a:lumMod val="50000"/>
                  </a:schemeClr>
                </a:solidFill>
              </a:rPr>
              <a:t> Chart</a:t>
            </a:r>
            <a:endParaRPr lang="en-US" b="1">
              <a:solidFill>
                <a:schemeClr val="accent6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'students performance'!$B$1</c:f>
              <c:strCache>
                <c:ptCount val="1"/>
                <c:pt idx="0">
                  <c:v>Students 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'students performance'!$A$2:$A$57</c:f>
              <c:numCache>
                <c:formatCode>General</c:formatCode>
                <c:ptCount val="56"/>
                <c:pt idx="0">
                  <c:v>22000</c:v>
                </c:pt>
                <c:pt idx="1">
                  <c:v>22001</c:v>
                </c:pt>
                <c:pt idx="2">
                  <c:v>22002</c:v>
                </c:pt>
                <c:pt idx="3">
                  <c:v>22003</c:v>
                </c:pt>
                <c:pt idx="4">
                  <c:v>22004</c:v>
                </c:pt>
                <c:pt idx="5">
                  <c:v>22005</c:v>
                </c:pt>
                <c:pt idx="6">
                  <c:v>22006</c:v>
                </c:pt>
                <c:pt idx="7">
                  <c:v>22007</c:v>
                </c:pt>
                <c:pt idx="8">
                  <c:v>22008</c:v>
                </c:pt>
                <c:pt idx="9">
                  <c:v>22009</c:v>
                </c:pt>
                <c:pt idx="10">
                  <c:v>22010</c:v>
                </c:pt>
                <c:pt idx="11">
                  <c:v>22011</c:v>
                </c:pt>
                <c:pt idx="12">
                  <c:v>22012</c:v>
                </c:pt>
                <c:pt idx="13">
                  <c:v>22013</c:v>
                </c:pt>
                <c:pt idx="14">
                  <c:v>22014</c:v>
                </c:pt>
                <c:pt idx="15">
                  <c:v>22015</c:v>
                </c:pt>
                <c:pt idx="16">
                  <c:v>22016</c:v>
                </c:pt>
                <c:pt idx="17">
                  <c:v>22017</c:v>
                </c:pt>
                <c:pt idx="18">
                  <c:v>22018</c:v>
                </c:pt>
                <c:pt idx="19">
                  <c:v>22019</c:v>
                </c:pt>
                <c:pt idx="20">
                  <c:v>22020</c:v>
                </c:pt>
                <c:pt idx="21">
                  <c:v>22021</c:v>
                </c:pt>
                <c:pt idx="22">
                  <c:v>22022</c:v>
                </c:pt>
                <c:pt idx="23">
                  <c:v>22023</c:v>
                </c:pt>
                <c:pt idx="24">
                  <c:v>22024</c:v>
                </c:pt>
                <c:pt idx="25">
                  <c:v>22025</c:v>
                </c:pt>
                <c:pt idx="26">
                  <c:v>22026</c:v>
                </c:pt>
                <c:pt idx="27">
                  <c:v>22027</c:v>
                </c:pt>
                <c:pt idx="28">
                  <c:v>22028</c:v>
                </c:pt>
                <c:pt idx="29">
                  <c:v>22029</c:v>
                </c:pt>
                <c:pt idx="30">
                  <c:v>22030</c:v>
                </c:pt>
                <c:pt idx="31">
                  <c:v>22031</c:v>
                </c:pt>
                <c:pt idx="32">
                  <c:v>22032</c:v>
                </c:pt>
                <c:pt idx="33">
                  <c:v>22033</c:v>
                </c:pt>
                <c:pt idx="34">
                  <c:v>22034</c:v>
                </c:pt>
                <c:pt idx="35">
                  <c:v>22035</c:v>
                </c:pt>
                <c:pt idx="36">
                  <c:v>22036</c:v>
                </c:pt>
                <c:pt idx="37">
                  <c:v>22037</c:v>
                </c:pt>
                <c:pt idx="38">
                  <c:v>22038</c:v>
                </c:pt>
                <c:pt idx="39">
                  <c:v>22039</c:v>
                </c:pt>
                <c:pt idx="40">
                  <c:v>22040</c:v>
                </c:pt>
                <c:pt idx="41">
                  <c:v>22041</c:v>
                </c:pt>
                <c:pt idx="42">
                  <c:v>22042</c:v>
                </c:pt>
                <c:pt idx="43">
                  <c:v>22043</c:v>
                </c:pt>
                <c:pt idx="44">
                  <c:v>22044</c:v>
                </c:pt>
                <c:pt idx="45">
                  <c:v>22045</c:v>
                </c:pt>
                <c:pt idx="46">
                  <c:v>22046</c:v>
                </c:pt>
                <c:pt idx="47">
                  <c:v>22047</c:v>
                </c:pt>
                <c:pt idx="48">
                  <c:v>22048</c:v>
                </c:pt>
                <c:pt idx="49">
                  <c:v>22049</c:v>
                </c:pt>
                <c:pt idx="50">
                  <c:v>22050</c:v>
                </c:pt>
                <c:pt idx="51">
                  <c:v>22051</c:v>
                </c:pt>
                <c:pt idx="52">
                  <c:v>22052</c:v>
                </c:pt>
                <c:pt idx="53">
                  <c:v>22053</c:v>
                </c:pt>
                <c:pt idx="54">
                  <c:v>22054</c:v>
                </c:pt>
                <c:pt idx="55">
                  <c:v>22055</c:v>
                </c:pt>
              </c:numCache>
            </c:numRef>
          </c:cat>
          <c:val>
            <c:numRef>
              <c:f>'students performance'!$B$2:$B$57</c:f>
              <c:numCache>
                <c:formatCode>0.00</c:formatCode>
                <c:ptCount val="56"/>
                <c:pt idx="0">
                  <c:v>90.75</c:v>
                </c:pt>
                <c:pt idx="1">
                  <c:v>69.5</c:v>
                </c:pt>
                <c:pt idx="2">
                  <c:v>74.75</c:v>
                </c:pt>
                <c:pt idx="3">
                  <c:v>59.5</c:v>
                </c:pt>
                <c:pt idx="4">
                  <c:v>95.25</c:v>
                </c:pt>
                <c:pt idx="5">
                  <c:v>33.75</c:v>
                </c:pt>
                <c:pt idx="6">
                  <c:v>62</c:v>
                </c:pt>
                <c:pt idx="7">
                  <c:v>71.75</c:v>
                </c:pt>
                <c:pt idx="8">
                  <c:v>58</c:v>
                </c:pt>
                <c:pt idx="9">
                  <c:v>68.5</c:v>
                </c:pt>
                <c:pt idx="10">
                  <c:v>39.25</c:v>
                </c:pt>
                <c:pt idx="11">
                  <c:v>81.5</c:v>
                </c:pt>
                <c:pt idx="12">
                  <c:v>84.75</c:v>
                </c:pt>
                <c:pt idx="13">
                  <c:v>38</c:v>
                </c:pt>
                <c:pt idx="14">
                  <c:v>74.75</c:v>
                </c:pt>
                <c:pt idx="15">
                  <c:v>73</c:v>
                </c:pt>
                <c:pt idx="16">
                  <c:v>73.5</c:v>
                </c:pt>
                <c:pt idx="17">
                  <c:v>43</c:v>
                </c:pt>
                <c:pt idx="18">
                  <c:v>62.5</c:v>
                </c:pt>
                <c:pt idx="19">
                  <c:v>59.25</c:v>
                </c:pt>
                <c:pt idx="20">
                  <c:v>40.25</c:v>
                </c:pt>
                <c:pt idx="21">
                  <c:v>45</c:v>
                </c:pt>
                <c:pt idx="22">
                  <c:v>38.25</c:v>
                </c:pt>
                <c:pt idx="23">
                  <c:v>53</c:v>
                </c:pt>
                <c:pt idx="24">
                  <c:v>82.25</c:v>
                </c:pt>
                <c:pt idx="25">
                  <c:v>83.25</c:v>
                </c:pt>
                <c:pt idx="26">
                  <c:v>83</c:v>
                </c:pt>
                <c:pt idx="27">
                  <c:v>58.5</c:v>
                </c:pt>
                <c:pt idx="28">
                  <c:v>74.25</c:v>
                </c:pt>
                <c:pt idx="29">
                  <c:v>62.75</c:v>
                </c:pt>
                <c:pt idx="30">
                  <c:v>47.5</c:v>
                </c:pt>
                <c:pt idx="31">
                  <c:v>92.75</c:v>
                </c:pt>
                <c:pt idx="32">
                  <c:v>94.5</c:v>
                </c:pt>
                <c:pt idx="33">
                  <c:v>61</c:v>
                </c:pt>
                <c:pt idx="34">
                  <c:v>84</c:v>
                </c:pt>
                <c:pt idx="35">
                  <c:v>59.25</c:v>
                </c:pt>
                <c:pt idx="36">
                  <c:v>94.5</c:v>
                </c:pt>
                <c:pt idx="37">
                  <c:v>80.75</c:v>
                </c:pt>
                <c:pt idx="38">
                  <c:v>84.5</c:v>
                </c:pt>
                <c:pt idx="39">
                  <c:v>60.5</c:v>
                </c:pt>
                <c:pt idx="40">
                  <c:v>85.25</c:v>
                </c:pt>
                <c:pt idx="41">
                  <c:v>78.75</c:v>
                </c:pt>
                <c:pt idx="42">
                  <c:v>96</c:v>
                </c:pt>
                <c:pt idx="43">
                  <c:v>64.75</c:v>
                </c:pt>
                <c:pt idx="44">
                  <c:v>91.75</c:v>
                </c:pt>
                <c:pt idx="45">
                  <c:v>87.75</c:v>
                </c:pt>
                <c:pt idx="46">
                  <c:v>43.25</c:v>
                </c:pt>
                <c:pt idx="47">
                  <c:v>45.5</c:v>
                </c:pt>
                <c:pt idx="48">
                  <c:v>45</c:v>
                </c:pt>
                <c:pt idx="49">
                  <c:v>61.5</c:v>
                </c:pt>
                <c:pt idx="50">
                  <c:v>50.25</c:v>
                </c:pt>
                <c:pt idx="51">
                  <c:v>66.5</c:v>
                </c:pt>
                <c:pt idx="52">
                  <c:v>65.25</c:v>
                </c:pt>
                <c:pt idx="53">
                  <c:v>98</c:v>
                </c:pt>
                <c:pt idx="54">
                  <c:v>56</c:v>
                </c:pt>
                <c:pt idx="55">
                  <c:v>54.25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9A-4BF7-B49E-AF8A06B7B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53873168"/>
        <c:axId val="253872776"/>
      </c:barChart>
      <c:lineChart>
        <c:grouping val="standard"/>
        <c:varyColors val="0"/>
        <c:ser>
          <c:idx val="1"/>
          <c:order val="1"/>
          <c:tx>
            <c:strRef>
              <c:f>'students performance'!$C:$C</c:f>
              <c:strCache>
                <c:ptCount val="1048576"/>
                <c:pt idx="0">
                  <c:v>Pass Mark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'students performance'!$C$2:$C$57</c:f>
              <c:numCache>
                <c:formatCode>0</c:formatCode>
                <c:ptCount val="56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9A-4BF7-B49E-AF8A06B7B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873168"/>
        <c:axId val="253872776"/>
      </c:lineChart>
      <c:catAx>
        <c:axId val="253873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rgbClr val="FF0000"/>
                    </a:solidFill>
                  </a:rPr>
                  <a:t>Students</a:t>
                </a:r>
                <a:r>
                  <a:rPr lang="en-US" sz="1200" b="1" baseline="0">
                    <a:solidFill>
                      <a:srgbClr val="FF0000"/>
                    </a:solidFill>
                  </a:rPr>
                  <a:t> ID</a:t>
                </a:r>
                <a:endParaRPr lang="en-US" sz="1200" b="1">
                  <a:solidFill>
                    <a:srgbClr val="FF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45774914994101634"/>
              <c:y val="0.903480517973927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872776"/>
        <c:crosses val="autoZero"/>
        <c:auto val="1"/>
        <c:lblAlgn val="ctr"/>
        <c:lblOffset val="100"/>
        <c:noMultiLvlLbl val="0"/>
      </c:catAx>
      <c:valAx>
        <c:axId val="253872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rgbClr val="FF0000"/>
                    </a:solidFill>
                  </a:rPr>
                  <a:t>Students</a:t>
                </a:r>
                <a:r>
                  <a:rPr lang="en-US" sz="1200" b="1" baseline="0">
                    <a:solidFill>
                      <a:srgbClr val="FF0000"/>
                    </a:solidFill>
                  </a:rPr>
                  <a:t> Average</a:t>
                </a:r>
                <a:endParaRPr lang="en-US" sz="1200" b="1">
                  <a:solidFill>
                    <a:srgbClr val="FF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873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47626</xdr:colOff>
      <xdr:row>0</xdr:row>
      <xdr:rowOff>19050</xdr:rowOff>
    </xdr:from>
    <xdr:to>
      <xdr:col>12</xdr:col>
      <xdr:colOff>600076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abSelected="1" topLeftCell="B1" zoomScale="86" zoomScaleNormal="86" workbookViewId="0">
      <selection activeCell="H2" sqref="H2"/>
    </sheetView>
  </sheetViews>
  <sheetFormatPr defaultRowHeight="15" x14ac:dyDescent="0.25"/>
  <cols>
    <col min="1" max="1" width="11" customWidth="1"/>
    <col min="4" max="4" width="13.7109375" customWidth="1"/>
    <col min="5" max="5" width="11.5703125" customWidth="1"/>
    <col min="6" max="6" width="15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10</v>
      </c>
      <c r="F1" s="1" t="s">
        <v>14</v>
      </c>
      <c r="H1" s="1" t="s">
        <v>29</v>
      </c>
    </row>
    <row r="2" spans="1:8" x14ac:dyDescent="0.25">
      <c r="A2">
        <v>22000</v>
      </c>
      <c r="B2">
        <v>78</v>
      </c>
      <c r="C2">
        <v>87</v>
      </c>
      <c r="D2">
        <v>98</v>
      </c>
      <c r="E2">
        <v>100</v>
      </c>
      <c r="F2" s="2">
        <f>AVERAGE(B2:E2)</f>
        <v>90.75</v>
      </c>
    </row>
    <row r="3" spans="1:8" x14ac:dyDescent="0.25">
      <c r="A3">
        <v>22001</v>
      </c>
      <c r="B3">
        <v>79</v>
      </c>
      <c r="C3">
        <v>71</v>
      </c>
      <c r="D3">
        <v>68</v>
      </c>
      <c r="E3">
        <v>60</v>
      </c>
      <c r="F3" s="2">
        <f>AVERAGE(B3:E3)</f>
        <v>69.5</v>
      </c>
    </row>
    <row r="4" spans="1:8" x14ac:dyDescent="0.25">
      <c r="A4">
        <v>22002</v>
      </c>
      <c r="B4">
        <v>66</v>
      </c>
      <c r="C4">
        <v>65</v>
      </c>
      <c r="D4">
        <v>86</v>
      </c>
      <c r="E4">
        <v>82</v>
      </c>
      <c r="F4" s="2">
        <f>AVERAGE(B4:E4)</f>
        <v>74.75</v>
      </c>
    </row>
    <row r="5" spans="1:8" x14ac:dyDescent="0.25">
      <c r="A5">
        <v>22003</v>
      </c>
      <c r="B5">
        <v>60</v>
      </c>
      <c r="C5">
        <v>58</v>
      </c>
      <c r="D5">
        <v>57</v>
      </c>
      <c r="E5">
        <v>63</v>
      </c>
      <c r="F5" s="2">
        <f>AVERAGE(B5:E5)</f>
        <v>59.5</v>
      </c>
    </row>
    <row r="6" spans="1:8" x14ac:dyDescent="0.25">
      <c r="A6">
        <v>22004</v>
      </c>
      <c r="B6">
        <v>99</v>
      </c>
      <c r="C6">
        <v>95</v>
      </c>
      <c r="D6">
        <v>89</v>
      </c>
      <c r="E6">
        <v>98</v>
      </c>
      <c r="F6" s="2">
        <f>AVERAGE(B6:E6)</f>
        <v>95.25</v>
      </c>
    </row>
    <row r="7" spans="1:8" x14ac:dyDescent="0.25">
      <c r="A7">
        <v>22005</v>
      </c>
      <c r="B7">
        <v>41</v>
      </c>
      <c r="C7">
        <v>36</v>
      </c>
      <c r="D7">
        <v>36</v>
      </c>
      <c r="E7">
        <v>22</v>
      </c>
      <c r="F7" s="2">
        <f>AVERAGE(B7:E7)</f>
        <v>33.75</v>
      </c>
    </row>
    <row r="8" spans="1:8" x14ac:dyDescent="0.25">
      <c r="A8">
        <v>22006</v>
      </c>
      <c r="B8">
        <v>47</v>
      </c>
      <c r="C8">
        <v>50</v>
      </c>
      <c r="D8">
        <v>64</v>
      </c>
      <c r="E8">
        <v>87</v>
      </c>
      <c r="F8" s="2">
        <f>AVERAGE(B8:E8)</f>
        <v>62</v>
      </c>
    </row>
    <row r="9" spans="1:8" x14ac:dyDescent="0.25">
      <c r="A9">
        <v>22007</v>
      </c>
      <c r="B9">
        <v>84</v>
      </c>
      <c r="C9">
        <v>74</v>
      </c>
      <c r="D9">
        <v>59</v>
      </c>
      <c r="E9">
        <v>70</v>
      </c>
      <c r="F9" s="2">
        <f>AVERAGE(B9:E9)</f>
        <v>71.75</v>
      </c>
    </row>
    <row r="10" spans="1:8" x14ac:dyDescent="0.25">
      <c r="A10">
        <v>22008</v>
      </c>
      <c r="B10">
        <v>74</v>
      </c>
      <c r="C10">
        <v>64</v>
      </c>
      <c r="D10">
        <v>51</v>
      </c>
      <c r="E10">
        <v>43</v>
      </c>
      <c r="F10" s="2">
        <f>AVERAGE(B10:E10)</f>
        <v>58</v>
      </c>
    </row>
    <row r="11" spans="1:8" x14ac:dyDescent="0.25">
      <c r="A11">
        <v>22009</v>
      </c>
      <c r="B11">
        <v>87</v>
      </c>
      <c r="C11">
        <v>81</v>
      </c>
      <c r="D11">
        <v>63</v>
      </c>
      <c r="E11">
        <v>43</v>
      </c>
      <c r="F11" s="2">
        <f>AVERAGE(B11:E11)</f>
        <v>68.5</v>
      </c>
    </row>
    <row r="12" spans="1:8" x14ac:dyDescent="0.25">
      <c r="A12">
        <v>22010</v>
      </c>
      <c r="B12">
        <v>40</v>
      </c>
      <c r="C12">
        <v>34</v>
      </c>
      <c r="D12">
        <v>35</v>
      </c>
      <c r="E12">
        <v>48</v>
      </c>
      <c r="F12" s="2">
        <f>AVERAGE(B12:E12)</f>
        <v>39.25</v>
      </c>
    </row>
    <row r="13" spans="1:8" x14ac:dyDescent="0.25">
      <c r="A13">
        <v>22011</v>
      </c>
      <c r="B13">
        <v>91</v>
      </c>
      <c r="C13">
        <v>84</v>
      </c>
      <c r="D13">
        <v>80</v>
      </c>
      <c r="E13">
        <v>71</v>
      </c>
      <c r="F13" s="2">
        <f>AVERAGE(B13:E13)</f>
        <v>81.5</v>
      </c>
    </row>
    <row r="14" spans="1:8" x14ac:dyDescent="0.25">
      <c r="A14">
        <v>22012</v>
      </c>
      <c r="B14">
        <v>81</v>
      </c>
      <c r="C14">
        <v>83</v>
      </c>
      <c r="D14">
        <v>90</v>
      </c>
      <c r="E14">
        <v>85</v>
      </c>
      <c r="F14" s="2">
        <f>AVERAGE(B14:E14)</f>
        <v>84.75</v>
      </c>
    </row>
    <row r="15" spans="1:8" x14ac:dyDescent="0.25">
      <c r="A15">
        <v>22013</v>
      </c>
      <c r="B15">
        <v>52</v>
      </c>
      <c r="C15">
        <v>50</v>
      </c>
      <c r="D15">
        <v>30</v>
      </c>
      <c r="E15">
        <v>20</v>
      </c>
      <c r="F15" s="2">
        <f>AVERAGE(B15:E15)</f>
        <v>38</v>
      </c>
    </row>
    <row r="16" spans="1:8" x14ac:dyDescent="0.25">
      <c r="A16">
        <v>22014</v>
      </c>
      <c r="B16">
        <v>63</v>
      </c>
      <c r="C16">
        <v>67</v>
      </c>
      <c r="D16">
        <v>86</v>
      </c>
      <c r="E16">
        <v>83</v>
      </c>
      <c r="F16" s="2">
        <f>AVERAGE(B16:E16)</f>
        <v>74.75</v>
      </c>
    </row>
    <row r="17" spans="1:6" x14ac:dyDescent="0.25">
      <c r="A17">
        <v>22015</v>
      </c>
      <c r="B17">
        <v>76</v>
      </c>
      <c r="C17">
        <v>82</v>
      </c>
      <c r="D17">
        <v>76</v>
      </c>
      <c r="E17">
        <v>58</v>
      </c>
      <c r="F17" s="2">
        <f>AVERAGE(B17:E17)</f>
        <v>73</v>
      </c>
    </row>
    <row r="18" spans="1:6" x14ac:dyDescent="0.25">
      <c r="A18">
        <v>22016</v>
      </c>
      <c r="B18">
        <v>83</v>
      </c>
      <c r="C18">
        <v>78</v>
      </c>
      <c r="D18">
        <v>72</v>
      </c>
      <c r="E18">
        <v>61</v>
      </c>
      <c r="F18" s="2">
        <f>AVERAGE(B18:E18)</f>
        <v>73.5</v>
      </c>
    </row>
    <row r="19" spans="1:6" x14ac:dyDescent="0.25">
      <c r="A19">
        <v>22017</v>
      </c>
      <c r="B19">
        <v>55</v>
      </c>
      <c r="C19">
        <v>45</v>
      </c>
      <c r="D19">
        <v>35</v>
      </c>
      <c r="E19">
        <v>37</v>
      </c>
      <c r="F19" s="2">
        <f>AVERAGE(B19:E19)</f>
        <v>43</v>
      </c>
    </row>
    <row r="20" spans="1:6" x14ac:dyDescent="0.25">
      <c r="A20">
        <v>22018</v>
      </c>
      <c r="B20">
        <v>71</v>
      </c>
      <c r="C20">
        <v>67</v>
      </c>
      <c r="D20">
        <v>61</v>
      </c>
      <c r="E20">
        <v>51</v>
      </c>
      <c r="F20" s="2">
        <f>AVERAGE(B20:E20)</f>
        <v>62.5</v>
      </c>
    </row>
    <row r="21" spans="1:6" x14ac:dyDescent="0.25">
      <c r="A21">
        <v>22019</v>
      </c>
      <c r="B21">
        <v>62</v>
      </c>
      <c r="C21">
        <v>61</v>
      </c>
      <c r="D21">
        <v>59</v>
      </c>
      <c r="E21">
        <v>55</v>
      </c>
      <c r="F21" s="2">
        <f>AVERAGE(B21:E21)</f>
        <v>59.25</v>
      </c>
    </row>
    <row r="22" spans="1:6" x14ac:dyDescent="0.25">
      <c r="A22">
        <v>22020</v>
      </c>
      <c r="B22">
        <v>44</v>
      </c>
      <c r="C22">
        <v>38</v>
      </c>
      <c r="D22">
        <v>34</v>
      </c>
      <c r="E22">
        <v>45</v>
      </c>
      <c r="F22" s="2">
        <f>AVERAGE(B22:E22)</f>
        <v>40.25</v>
      </c>
    </row>
    <row r="23" spans="1:6" x14ac:dyDescent="0.25">
      <c r="A23">
        <v>22021</v>
      </c>
      <c r="B23">
        <v>50</v>
      </c>
      <c r="C23">
        <v>56</v>
      </c>
      <c r="D23">
        <v>38</v>
      </c>
      <c r="E23">
        <v>36</v>
      </c>
      <c r="F23" s="2">
        <f>AVERAGE(B23:E23)</f>
        <v>45</v>
      </c>
    </row>
    <row r="24" spans="1:6" x14ac:dyDescent="0.25">
      <c r="A24">
        <v>22022</v>
      </c>
      <c r="B24">
        <v>57</v>
      </c>
      <c r="C24">
        <v>48</v>
      </c>
      <c r="D24">
        <v>36</v>
      </c>
      <c r="E24">
        <v>12</v>
      </c>
      <c r="F24" s="2">
        <f>AVERAGE(B24:E24)</f>
        <v>38.25</v>
      </c>
    </row>
    <row r="25" spans="1:6" x14ac:dyDescent="0.25">
      <c r="A25">
        <v>22023</v>
      </c>
      <c r="B25">
        <v>59</v>
      </c>
      <c r="C25">
        <v>56</v>
      </c>
      <c r="D25">
        <v>40</v>
      </c>
      <c r="E25">
        <v>57</v>
      </c>
      <c r="F25" s="2">
        <f>AVERAGE(B25:E25)</f>
        <v>53</v>
      </c>
    </row>
    <row r="26" spans="1:6" x14ac:dyDescent="0.25">
      <c r="A26">
        <v>22024</v>
      </c>
      <c r="B26">
        <v>84</v>
      </c>
      <c r="C26">
        <v>92</v>
      </c>
      <c r="D26">
        <v>80</v>
      </c>
      <c r="E26">
        <v>73</v>
      </c>
      <c r="F26" s="2">
        <f>AVERAGE(B26:E26)</f>
        <v>82.25</v>
      </c>
    </row>
    <row r="27" spans="1:6" x14ac:dyDescent="0.25">
      <c r="A27">
        <v>22025</v>
      </c>
      <c r="B27">
        <v>74</v>
      </c>
      <c r="C27">
        <v>80</v>
      </c>
      <c r="D27">
        <v>100</v>
      </c>
      <c r="E27">
        <v>79</v>
      </c>
      <c r="F27" s="2">
        <f>AVERAGE(B27:E27)</f>
        <v>83.25</v>
      </c>
    </row>
    <row r="28" spans="1:6" x14ac:dyDescent="0.25">
      <c r="A28">
        <v>22026</v>
      </c>
      <c r="B28">
        <v>92</v>
      </c>
      <c r="C28">
        <v>84</v>
      </c>
      <c r="D28">
        <v>83</v>
      </c>
      <c r="E28">
        <v>73</v>
      </c>
      <c r="F28" s="2">
        <f>AVERAGE(B28:E28)</f>
        <v>83</v>
      </c>
    </row>
    <row r="29" spans="1:6" x14ac:dyDescent="0.25">
      <c r="A29">
        <v>22027</v>
      </c>
      <c r="B29">
        <v>63</v>
      </c>
      <c r="C29">
        <v>70</v>
      </c>
      <c r="D29">
        <v>55</v>
      </c>
      <c r="E29">
        <v>46</v>
      </c>
      <c r="F29" s="2">
        <f>AVERAGE(B29:E29)</f>
        <v>58.5</v>
      </c>
    </row>
    <row r="30" spans="1:6" x14ac:dyDescent="0.25">
      <c r="A30">
        <v>22028</v>
      </c>
      <c r="B30">
        <v>78</v>
      </c>
      <c r="C30">
        <v>77</v>
      </c>
      <c r="D30">
        <v>74</v>
      </c>
      <c r="E30">
        <v>68</v>
      </c>
      <c r="F30" s="2">
        <f>AVERAGE(B30:E30)</f>
        <v>74.25</v>
      </c>
    </row>
    <row r="31" spans="1:6" x14ac:dyDescent="0.25">
      <c r="A31">
        <v>22029</v>
      </c>
      <c r="B31">
        <v>55</v>
      </c>
      <c r="C31">
        <v>58</v>
      </c>
      <c r="D31">
        <v>62</v>
      </c>
      <c r="E31">
        <v>76</v>
      </c>
      <c r="F31" s="2">
        <f>AVERAGE(B31:E31)</f>
        <v>62.75</v>
      </c>
    </row>
    <row r="32" spans="1:6" x14ac:dyDescent="0.25">
      <c r="A32">
        <v>22030</v>
      </c>
      <c r="B32">
        <v>54</v>
      </c>
      <c r="C32">
        <v>54</v>
      </c>
      <c r="D32">
        <v>45</v>
      </c>
      <c r="E32">
        <v>37</v>
      </c>
      <c r="F32" s="2">
        <f>AVERAGE(B32:E32)</f>
        <v>47.5</v>
      </c>
    </row>
    <row r="33" spans="1:6" x14ac:dyDescent="0.25">
      <c r="A33">
        <v>22031</v>
      </c>
      <c r="B33">
        <v>84</v>
      </c>
      <c r="C33">
        <v>93</v>
      </c>
      <c r="D33">
        <v>95</v>
      </c>
      <c r="E33">
        <v>99</v>
      </c>
      <c r="F33" s="2">
        <f>AVERAGE(B33:E33)</f>
        <v>92.75</v>
      </c>
    </row>
    <row r="34" spans="1:6" x14ac:dyDescent="0.25">
      <c r="A34">
        <v>22032</v>
      </c>
      <c r="B34">
        <v>95</v>
      </c>
      <c r="C34">
        <v>100</v>
      </c>
      <c r="D34">
        <v>99</v>
      </c>
      <c r="E34">
        <v>84</v>
      </c>
      <c r="F34" s="2">
        <f>AVERAGE(B34:E34)</f>
        <v>94.5</v>
      </c>
    </row>
    <row r="35" spans="1:6" x14ac:dyDescent="0.25">
      <c r="A35">
        <v>22033</v>
      </c>
      <c r="B35">
        <v>64</v>
      </c>
      <c r="C35">
        <v>61</v>
      </c>
      <c r="D35">
        <v>68</v>
      </c>
      <c r="E35">
        <v>51</v>
      </c>
      <c r="F35" s="2">
        <f>AVERAGE(B35:E35)</f>
        <v>61</v>
      </c>
    </row>
    <row r="36" spans="1:6" x14ac:dyDescent="0.25">
      <c r="A36">
        <v>22034</v>
      </c>
      <c r="B36">
        <v>76</v>
      </c>
      <c r="C36">
        <v>79</v>
      </c>
      <c r="D36">
        <v>86</v>
      </c>
      <c r="E36">
        <v>95</v>
      </c>
      <c r="F36" s="2">
        <f>AVERAGE(B36:E36)</f>
        <v>84</v>
      </c>
    </row>
    <row r="37" spans="1:6" x14ac:dyDescent="0.25">
      <c r="A37">
        <v>22035</v>
      </c>
      <c r="B37">
        <v>78</v>
      </c>
      <c r="C37">
        <v>71</v>
      </c>
      <c r="D37">
        <v>48</v>
      </c>
      <c r="E37">
        <v>40</v>
      </c>
      <c r="F37" s="2">
        <f>AVERAGE(B37:E37)</f>
        <v>59.25</v>
      </c>
    </row>
    <row r="38" spans="1:6" x14ac:dyDescent="0.25">
      <c r="A38">
        <v>22036</v>
      </c>
      <c r="B38">
        <v>95</v>
      </c>
      <c r="C38">
        <v>89</v>
      </c>
      <c r="D38">
        <v>94</v>
      </c>
      <c r="E38">
        <v>100</v>
      </c>
      <c r="F38" s="2">
        <f>AVERAGE(B38:E38)</f>
        <v>94.5</v>
      </c>
    </row>
    <row r="39" spans="1:6" x14ac:dyDescent="0.25">
      <c r="A39">
        <v>22037</v>
      </c>
      <c r="B39">
        <v>99</v>
      </c>
      <c r="C39">
        <v>89</v>
      </c>
      <c r="D39">
        <v>81</v>
      </c>
      <c r="E39">
        <v>54</v>
      </c>
      <c r="F39" s="2">
        <f>AVERAGE(B39:E39)</f>
        <v>80.75</v>
      </c>
    </row>
    <row r="40" spans="1:6" x14ac:dyDescent="0.25">
      <c r="A40">
        <v>22038</v>
      </c>
      <c r="B40">
        <v>82</v>
      </c>
      <c r="C40">
        <v>83</v>
      </c>
      <c r="D40">
        <v>80</v>
      </c>
      <c r="E40">
        <v>93</v>
      </c>
      <c r="F40" s="2">
        <f>AVERAGE(B40:E40)</f>
        <v>84.5</v>
      </c>
    </row>
    <row r="41" spans="1:6" x14ac:dyDescent="0.25">
      <c r="A41">
        <v>22039</v>
      </c>
      <c r="B41">
        <v>65</v>
      </c>
      <c r="C41">
        <v>56</v>
      </c>
      <c r="D41">
        <v>51</v>
      </c>
      <c r="E41">
        <v>70</v>
      </c>
      <c r="F41" s="2">
        <f>AVERAGE(B41:E41)</f>
        <v>60.5</v>
      </c>
    </row>
    <row r="42" spans="1:6" x14ac:dyDescent="0.25">
      <c r="A42">
        <v>22040</v>
      </c>
      <c r="B42">
        <v>100</v>
      </c>
      <c r="C42">
        <v>93</v>
      </c>
      <c r="D42">
        <v>76</v>
      </c>
      <c r="E42">
        <v>72</v>
      </c>
      <c r="F42" s="2">
        <f>AVERAGE(B42:E42)</f>
        <v>85.25</v>
      </c>
    </row>
    <row r="43" spans="1:6" x14ac:dyDescent="0.25">
      <c r="A43">
        <v>22041</v>
      </c>
      <c r="B43">
        <v>78</v>
      </c>
      <c r="C43">
        <v>72</v>
      </c>
      <c r="D43">
        <v>73</v>
      </c>
      <c r="E43">
        <v>92</v>
      </c>
      <c r="F43" s="2">
        <f>AVERAGE(B43:E43)</f>
        <v>78.75</v>
      </c>
    </row>
    <row r="44" spans="1:6" x14ac:dyDescent="0.25">
      <c r="A44">
        <v>22042</v>
      </c>
      <c r="B44">
        <v>98</v>
      </c>
      <c r="C44">
        <v>100</v>
      </c>
      <c r="D44">
        <v>92</v>
      </c>
      <c r="E44">
        <v>94</v>
      </c>
      <c r="F44" s="2">
        <f>AVERAGE(B44:E44)</f>
        <v>96</v>
      </c>
    </row>
    <row r="45" spans="1:6" x14ac:dyDescent="0.25">
      <c r="A45">
        <v>22043</v>
      </c>
      <c r="B45">
        <v>58</v>
      </c>
      <c r="C45">
        <v>62</v>
      </c>
      <c r="D45">
        <v>63</v>
      </c>
      <c r="E45">
        <v>76</v>
      </c>
      <c r="F45" s="2">
        <f>AVERAGE(B45:E45)</f>
        <v>64.75</v>
      </c>
    </row>
    <row r="46" spans="1:6" x14ac:dyDescent="0.25">
      <c r="A46">
        <v>22044</v>
      </c>
      <c r="B46">
        <v>96</v>
      </c>
      <c r="C46">
        <v>92</v>
      </c>
      <c r="D46">
        <v>95</v>
      </c>
      <c r="E46">
        <v>84</v>
      </c>
      <c r="F46" s="2">
        <f>AVERAGE(B46:E46)</f>
        <v>91.75</v>
      </c>
    </row>
    <row r="47" spans="1:6" x14ac:dyDescent="0.25">
      <c r="A47">
        <v>22045</v>
      </c>
      <c r="B47">
        <v>86</v>
      </c>
      <c r="C47">
        <v>87</v>
      </c>
      <c r="D47">
        <v>91</v>
      </c>
      <c r="E47">
        <v>87</v>
      </c>
      <c r="F47" s="2">
        <f>AVERAGE(B47:E47)</f>
        <v>87.75</v>
      </c>
    </row>
    <row r="48" spans="1:6" x14ac:dyDescent="0.25">
      <c r="A48">
        <v>22046</v>
      </c>
      <c r="B48">
        <v>48</v>
      </c>
      <c r="C48">
        <v>55</v>
      </c>
      <c r="D48">
        <v>29</v>
      </c>
      <c r="E48">
        <v>41</v>
      </c>
      <c r="F48" s="2">
        <f>AVERAGE(B48:E48)</f>
        <v>43.25</v>
      </c>
    </row>
    <row r="49" spans="1:6" x14ac:dyDescent="0.25">
      <c r="A49">
        <v>22047</v>
      </c>
      <c r="B49">
        <v>56</v>
      </c>
      <c r="C49">
        <v>52</v>
      </c>
      <c r="D49">
        <v>35</v>
      </c>
      <c r="E49">
        <v>39</v>
      </c>
      <c r="F49" s="2">
        <f>AVERAGE(B49:E49)</f>
        <v>45.5</v>
      </c>
    </row>
    <row r="50" spans="1:6" x14ac:dyDescent="0.25">
      <c r="A50">
        <v>22048</v>
      </c>
      <c r="B50">
        <v>42</v>
      </c>
      <c r="C50">
        <v>44</v>
      </c>
      <c r="D50">
        <v>59</v>
      </c>
      <c r="E50">
        <v>35</v>
      </c>
      <c r="F50" s="2">
        <f>AVERAGE(B50:E50)</f>
        <v>45</v>
      </c>
    </row>
    <row r="51" spans="1:6" x14ac:dyDescent="0.25">
      <c r="A51">
        <v>22049</v>
      </c>
      <c r="B51">
        <v>64</v>
      </c>
      <c r="C51">
        <v>54</v>
      </c>
      <c r="D51">
        <v>55</v>
      </c>
      <c r="E51">
        <v>73</v>
      </c>
      <c r="F51" s="2">
        <f>AVERAGE(B51:E51)</f>
        <v>61.5</v>
      </c>
    </row>
    <row r="52" spans="1:6" x14ac:dyDescent="0.25">
      <c r="A52">
        <v>22050</v>
      </c>
      <c r="B52">
        <v>50</v>
      </c>
      <c r="C52">
        <v>44</v>
      </c>
      <c r="D52">
        <v>46</v>
      </c>
      <c r="E52">
        <v>61</v>
      </c>
      <c r="F52" s="2">
        <f>AVERAGE(B52:E52)</f>
        <v>50.25</v>
      </c>
    </row>
    <row r="53" spans="1:6" x14ac:dyDescent="0.25">
      <c r="A53">
        <v>22051</v>
      </c>
      <c r="B53">
        <v>70</v>
      </c>
      <c r="C53">
        <v>60</v>
      </c>
      <c r="D53">
        <v>67</v>
      </c>
      <c r="E53">
        <v>69</v>
      </c>
      <c r="F53" s="2">
        <f>AVERAGE(B53:E53)</f>
        <v>66.5</v>
      </c>
    </row>
    <row r="54" spans="1:6" x14ac:dyDescent="0.25">
      <c r="A54">
        <v>22052</v>
      </c>
      <c r="B54">
        <v>63</v>
      </c>
      <c r="C54">
        <v>73</v>
      </c>
      <c r="D54">
        <v>67</v>
      </c>
      <c r="E54">
        <v>58</v>
      </c>
      <c r="F54" s="2">
        <f>AVERAGE(B54:E54)</f>
        <v>65.25</v>
      </c>
    </row>
    <row r="55" spans="1:6" x14ac:dyDescent="0.25">
      <c r="A55">
        <v>22053</v>
      </c>
      <c r="B55">
        <v>92</v>
      </c>
      <c r="C55">
        <v>100</v>
      </c>
      <c r="D55">
        <v>100</v>
      </c>
      <c r="E55">
        <v>100</v>
      </c>
      <c r="F55" s="2">
        <f>AVERAGE(B55:E55)</f>
        <v>98</v>
      </c>
    </row>
    <row r="56" spans="1:6" x14ac:dyDescent="0.25">
      <c r="A56">
        <v>22054</v>
      </c>
      <c r="B56">
        <v>64</v>
      </c>
      <c r="C56">
        <v>55</v>
      </c>
      <c r="D56">
        <v>57</v>
      </c>
      <c r="E56">
        <v>48</v>
      </c>
      <c r="F56" s="2">
        <f>AVERAGE(B56:E56)</f>
        <v>56</v>
      </c>
    </row>
    <row r="57" spans="1:6" x14ac:dyDescent="0.25">
      <c r="A57">
        <v>22055</v>
      </c>
      <c r="B57">
        <v>60</v>
      </c>
      <c r="C57">
        <v>66</v>
      </c>
      <c r="D57">
        <v>47</v>
      </c>
      <c r="E57">
        <v>44</v>
      </c>
      <c r="F57" s="2">
        <f>AVERAGE(B57:E57)</f>
        <v>54.25</v>
      </c>
    </row>
    <row r="59" spans="1:6" x14ac:dyDescent="0.25">
      <c r="B59">
        <f>AVERAGE(B2:B57)</f>
        <v>70.75</v>
      </c>
      <c r="C59">
        <f t="shared" ref="C59:E59" si="0">AVERAGE(C2:C57)</f>
        <v>69.196428571428569</v>
      </c>
      <c r="D59">
        <f t="shared" si="0"/>
        <v>66</v>
      </c>
      <c r="E59">
        <f t="shared" si="0"/>
        <v>64.25</v>
      </c>
    </row>
  </sheetData>
  <conditionalFormatting sqref="I1">
    <cfRule type="cellIs" priority="1" operator="equal">
      <formula>"pass"</formula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7"/>
  <sheetViews>
    <sheetView workbookViewId="0">
      <selection activeCell="F2" sqref="F2"/>
    </sheetView>
  </sheetViews>
  <sheetFormatPr defaultRowHeight="15" x14ac:dyDescent="0.25"/>
  <cols>
    <col min="1" max="1" width="11" customWidth="1"/>
    <col min="2" max="2" width="15.5703125" customWidth="1"/>
    <col min="3" max="3" width="9.7109375" style="6" customWidth="1"/>
    <col min="4" max="4" width="8.85546875" customWidth="1"/>
    <col min="5" max="5" width="13.7109375" customWidth="1"/>
    <col min="6" max="6" width="41.140625" customWidth="1"/>
    <col min="7" max="7" width="42.5703125" customWidth="1"/>
    <col min="8" max="8" width="13.7109375" customWidth="1"/>
    <col min="9" max="9" width="11.5703125" customWidth="1"/>
    <col min="11" max="11" width="15.5703125" customWidth="1"/>
    <col min="12" max="12" width="11.5703125" customWidth="1"/>
    <col min="13" max="13" width="12.42578125" customWidth="1"/>
  </cols>
  <sheetData>
    <row r="1" spans="1:15" x14ac:dyDescent="0.25">
      <c r="A1" s="1" t="s">
        <v>0</v>
      </c>
      <c r="B1" s="1" t="s">
        <v>13</v>
      </c>
      <c r="C1" s="7" t="s">
        <v>23</v>
      </c>
      <c r="D1" s="1" t="s">
        <v>14</v>
      </c>
      <c r="E1" s="1" t="s">
        <v>22</v>
      </c>
      <c r="F1" s="1" t="s">
        <v>25</v>
      </c>
      <c r="G1" s="1" t="s">
        <v>26</v>
      </c>
      <c r="L1" s="1"/>
      <c r="M1" s="1"/>
      <c r="N1" s="1"/>
      <c r="O1" s="1"/>
    </row>
    <row r="2" spans="1:15" x14ac:dyDescent="0.25">
      <c r="A2">
        <v>22000</v>
      </c>
      <c r="B2" s="2">
        <f>AVERAGE('raw data'!B2:E2)</f>
        <v>90.75</v>
      </c>
      <c r="C2" s="5" t="str">
        <f>IF(B2&gt;=70,"A",IF(AND(B2&gt;=60,B2&lt;=69),"B",IF(AND(B2&gt;=50,B2&lt;=59),"C",IF(AND(B2&gt;=40,B2&lt;=50),"D",IF(B2&lt;40,"F")))))</f>
        <v>A</v>
      </c>
      <c r="D2" s="3">
        <f>RANK(B2, $B$2:$B$57)</f>
        <v>8</v>
      </c>
      <c r="E2">
        <f>COUNT(B2:B57)</f>
        <v>56</v>
      </c>
      <c r="F2" s="4">
        <f>COUNTIF(B2:B57, "&gt;50")/COUNT(B2:B57)</f>
        <v>0.8035714285714286</v>
      </c>
      <c r="G2" s="4">
        <f>COUNTIF(B2:B57, "&lt;50")/COUNT(B2:B57)</f>
        <v>0.19642857142857142</v>
      </c>
    </row>
    <row r="3" spans="1:15" x14ac:dyDescent="0.25">
      <c r="A3">
        <v>22001</v>
      </c>
      <c r="B3" s="2">
        <f>AVERAGE('raw data'!B3:E3)</f>
        <v>69.5</v>
      </c>
      <c r="C3" s="5" t="b">
        <f>IF(B3&gt;=70,"A",IF(AND(B3&gt;=60,B3&lt;=69),"B",IF(AND(B3&gt;=50,B3&lt;=59),"C",IF(AND(B3&gt;=40,B3&lt;=50),"D",IF(B3&lt;40,"F")))))</f>
        <v>0</v>
      </c>
      <c r="D3" s="3">
        <f t="shared" ref="D3:D57" si="0">RANK(B3, $B$2:$B$57)</f>
        <v>26</v>
      </c>
    </row>
    <row r="4" spans="1:15" x14ac:dyDescent="0.25">
      <c r="A4">
        <v>22002</v>
      </c>
      <c r="B4" s="2">
        <f>AVERAGE('raw data'!B4:E4)</f>
        <v>74.75</v>
      </c>
      <c r="C4" s="5" t="str">
        <f t="shared" ref="C4:C57" si="1">IF(B4&gt;=70,"A",IF(AND(B4&gt;=60,B4&lt;=69),"B",IF(AND(B4&gt;=50,B4&lt;=59),"C",IF(AND(B4&gt;=40,B4&lt;=50),"D",IF(B4&lt;40,"F")))))</f>
        <v>A</v>
      </c>
      <c r="D4" s="3">
        <f t="shared" si="0"/>
        <v>20</v>
      </c>
      <c r="F4" s="1" t="s">
        <v>27</v>
      </c>
      <c r="G4" s="1" t="s">
        <v>28</v>
      </c>
    </row>
    <row r="5" spans="1:15" x14ac:dyDescent="0.25">
      <c r="A5">
        <v>22003</v>
      </c>
      <c r="B5" s="2">
        <f>AVERAGE('raw data'!B5:E5)</f>
        <v>59.5</v>
      </c>
      <c r="C5" s="5" t="b">
        <f t="shared" si="1"/>
        <v>0</v>
      </c>
      <c r="D5" s="3">
        <f t="shared" si="0"/>
        <v>37</v>
      </c>
      <c r="F5">
        <f>COUNTIF(B2:B57, "&gt;=50")</f>
        <v>45</v>
      </c>
      <c r="G5">
        <f>COUNTIF(B2:B57, "&lt;50")</f>
        <v>11</v>
      </c>
    </row>
    <row r="6" spans="1:15" x14ac:dyDescent="0.25">
      <c r="A6">
        <v>22004</v>
      </c>
      <c r="B6" s="2">
        <f>AVERAGE('raw data'!B6:E6)</f>
        <v>95.25</v>
      </c>
      <c r="C6" s="5" t="str">
        <f t="shared" si="1"/>
        <v>A</v>
      </c>
      <c r="D6" s="3">
        <f t="shared" si="0"/>
        <v>3</v>
      </c>
    </row>
    <row r="7" spans="1:15" x14ac:dyDescent="0.25">
      <c r="A7">
        <v>22005</v>
      </c>
      <c r="B7" s="2">
        <f>AVERAGE('raw data'!B7:E7)</f>
        <v>33.75</v>
      </c>
      <c r="C7" s="5" t="str">
        <f t="shared" si="1"/>
        <v>F</v>
      </c>
      <c r="D7" s="3">
        <f t="shared" si="0"/>
        <v>56</v>
      </c>
    </row>
    <row r="8" spans="1:15" x14ac:dyDescent="0.25">
      <c r="A8">
        <v>22006</v>
      </c>
      <c r="B8" s="2">
        <f>AVERAGE('raw data'!B8:E8)</f>
        <v>62</v>
      </c>
      <c r="C8" s="5" t="str">
        <f t="shared" si="1"/>
        <v>B</v>
      </c>
      <c r="D8" s="3">
        <f t="shared" si="0"/>
        <v>33</v>
      </c>
    </row>
    <row r="9" spans="1:15" x14ac:dyDescent="0.25">
      <c r="A9">
        <v>22007</v>
      </c>
      <c r="B9" s="2">
        <f>AVERAGE('raw data'!B9:E9)</f>
        <v>71.75</v>
      </c>
      <c r="C9" s="5" t="str">
        <f t="shared" si="1"/>
        <v>A</v>
      </c>
      <c r="D9" s="3">
        <f t="shared" si="0"/>
        <v>25</v>
      </c>
    </row>
    <row r="10" spans="1:15" x14ac:dyDescent="0.25">
      <c r="A10">
        <v>22008</v>
      </c>
      <c r="B10" s="2">
        <f>AVERAGE('raw data'!B10:E10)</f>
        <v>58</v>
      </c>
      <c r="C10" s="5" t="str">
        <f t="shared" si="1"/>
        <v>C</v>
      </c>
      <c r="D10" s="3">
        <f t="shared" si="0"/>
        <v>41</v>
      </c>
    </row>
    <row r="11" spans="1:15" x14ac:dyDescent="0.25">
      <c r="A11">
        <v>22009</v>
      </c>
      <c r="B11" s="2">
        <f>AVERAGE('raw data'!B11:E11)</f>
        <v>68.5</v>
      </c>
      <c r="C11" s="5" t="str">
        <f>IF(B11&gt;=70,"A",IF(AND(B11&gt;=60,B11&lt;=69),"B",IF(AND(B11&gt;=50,B11&lt;=59.5),"C",IF(AND(B11&gt;=40,B11&lt;=50),"D",IF(B11&lt;40,"F")))))</f>
        <v>B</v>
      </c>
      <c r="D11" s="3">
        <f t="shared" si="0"/>
        <v>27</v>
      </c>
    </row>
    <row r="12" spans="1:15" x14ac:dyDescent="0.25">
      <c r="A12">
        <v>22010</v>
      </c>
      <c r="B12" s="2">
        <f>AVERAGE('raw data'!B12:E12)</f>
        <v>39.25</v>
      </c>
      <c r="C12" s="5" t="str">
        <f t="shared" si="1"/>
        <v>F</v>
      </c>
      <c r="D12" s="3">
        <f t="shared" si="0"/>
        <v>53</v>
      </c>
    </row>
    <row r="13" spans="1:15" x14ac:dyDescent="0.25">
      <c r="A13">
        <v>22011</v>
      </c>
      <c r="B13" s="2">
        <f>AVERAGE('raw data'!B13:E13)</f>
        <v>81.5</v>
      </c>
      <c r="C13" s="5" t="str">
        <f t="shared" si="1"/>
        <v>A</v>
      </c>
      <c r="D13" s="3">
        <f t="shared" si="0"/>
        <v>17</v>
      </c>
    </row>
    <row r="14" spans="1:15" x14ac:dyDescent="0.25">
      <c r="A14">
        <v>22012</v>
      </c>
      <c r="B14" s="2">
        <f>AVERAGE('raw data'!B14:E14)</f>
        <v>84.75</v>
      </c>
      <c r="C14" s="5" t="str">
        <f t="shared" si="1"/>
        <v>A</v>
      </c>
      <c r="D14" s="3">
        <f t="shared" si="0"/>
        <v>11</v>
      </c>
    </row>
    <row r="15" spans="1:15" x14ac:dyDescent="0.25">
      <c r="A15">
        <v>22013</v>
      </c>
      <c r="B15" s="2">
        <f>AVERAGE('raw data'!B15:E15)</f>
        <v>38</v>
      </c>
      <c r="C15" s="5" t="str">
        <f t="shared" si="1"/>
        <v>F</v>
      </c>
      <c r="D15" s="3">
        <f t="shared" si="0"/>
        <v>55</v>
      </c>
    </row>
    <row r="16" spans="1:15" x14ac:dyDescent="0.25">
      <c r="A16">
        <v>22014</v>
      </c>
      <c r="B16" s="2">
        <f>AVERAGE('raw data'!B16:E16)</f>
        <v>74.75</v>
      </c>
      <c r="C16" s="5" t="str">
        <f t="shared" si="1"/>
        <v>A</v>
      </c>
      <c r="D16" s="3">
        <f t="shared" si="0"/>
        <v>20</v>
      </c>
    </row>
    <row r="17" spans="1:4" x14ac:dyDescent="0.25">
      <c r="A17">
        <v>22015</v>
      </c>
      <c r="B17" s="2">
        <f>AVERAGE('raw data'!B17:E17)</f>
        <v>73</v>
      </c>
      <c r="C17" s="5" t="str">
        <f t="shared" si="1"/>
        <v>A</v>
      </c>
      <c r="D17" s="3">
        <f t="shared" si="0"/>
        <v>24</v>
      </c>
    </row>
    <row r="18" spans="1:4" x14ac:dyDescent="0.25">
      <c r="A18">
        <v>22016</v>
      </c>
      <c r="B18" s="2">
        <f>AVERAGE('raw data'!B18:E18)</f>
        <v>73.5</v>
      </c>
      <c r="C18" s="5" t="str">
        <f t="shared" si="1"/>
        <v>A</v>
      </c>
      <c r="D18" s="3">
        <f t="shared" si="0"/>
        <v>23</v>
      </c>
    </row>
    <row r="19" spans="1:4" x14ac:dyDescent="0.25">
      <c r="A19">
        <v>22017</v>
      </c>
      <c r="B19" s="2">
        <f>AVERAGE('raw data'!B19:E19)</f>
        <v>43</v>
      </c>
      <c r="C19" s="5" t="str">
        <f t="shared" si="1"/>
        <v>D</v>
      </c>
      <c r="D19" s="3">
        <f t="shared" si="0"/>
        <v>51</v>
      </c>
    </row>
    <row r="20" spans="1:4" x14ac:dyDescent="0.25">
      <c r="A20">
        <v>22018</v>
      </c>
      <c r="B20" s="2">
        <f>AVERAGE('raw data'!B20:E20)</f>
        <v>62.5</v>
      </c>
      <c r="C20" s="5" t="str">
        <f t="shared" si="1"/>
        <v>B</v>
      </c>
      <c r="D20" s="3">
        <f t="shared" si="0"/>
        <v>32</v>
      </c>
    </row>
    <row r="21" spans="1:4" x14ac:dyDescent="0.25">
      <c r="A21">
        <v>22019</v>
      </c>
      <c r="B21" s="2">
        <f>AVERAGE('raw data'!B21:E21)</f>
        <v>59.25</v>
      </c>
      <c r="C21" s="5" t="b">
        <f t="shared" si="1"/>
        <v>0</v>
      </c>
      <c r="D21" s="3">
        <f t="shared" si="0"/>
        <v>38</v>
      </c>
    </row>
    <row r="22" spans="1:4" x14ac:dyDescent="0.25">
      <c r="A22">
        <v>22020</v>
      </c>
      <c r="B22" s="2">
        <f>AVERAGE('raw data'!B22:E22)</f>
        <v>40.25</v>
      </c>
      <c r="C22" s="5" t="str">
        <f t="shared" si="1"/>
        <v>D</v>
      </c>
      <c r="D22" s="3">
        <f t="shared" si="0"/>
        <v>52</v>
      </c>
    </row>
    <row r="23" spans="1:4" x14ac:dyDescent="0.25">
      <c r="A23">
        <v>22021</v>
      </c>
      <c r="B23" s="2">
        <f>AVERAGE('raw data'!B23:E23)</f>
        <v>45</v>
      </c>
      <c r="C23" s="5" t="str">
        <f t="shared" si="1"/>
        <v>D</v>
      </c>
      <c r="D23" s="3">
        <f t="shared" si="0"/>
        <v>48</v>
      </c>
    </row>
    <row r="24" spans="1:4" x14ac:dyDescent="0.25">
      <c r="A24">
        <v>22022</v>
      </c>
      <c r="B24" s="2">
        <f>AVERAGE('raw data'!B24:E24)</f>
        <v>38.25</v>
      </c>
      <c r="C24" s="5" t="str">
        <f t="shared" si="1"/>
        <v>F</v>
      </c>
      <c r="D24" s="3">
        <f t="shared" si="0"/>
        <v>54</v>
      </c>
    </row>
    <row r="25" spans="1:4" x14ac:dyDescent="0.25">
      <c r="A25">
        <v>22023</v>
      </c>
      <c r="B25" s="2">
        <f>AVERAGE('raw data'!B25:E25)</f>
        <v>53</v>
      </c>
      <c r="C25" s="5" t="str">
        <f t="shared" si="1"/>
        <v>C</v>
      </c>
      <c r="D25" s="3">
        <f t="shared" si="0"/>
        <v>44</v>
      </c>
    </row>
    <row r="26" spans="1:4" x14ac:dyDescent="0.25">
      <c r="A26">
        <v>22024</v>
      </c>
      <c r="B26" s="2">
        <f>AVERAGE('raw data'!B26:E26)</f>
        <v>82.25</v>
      </c>
      <c r="C26" s="5" t="str">
        <f t="shared" si="1"/>
        <v>A</v>
      </c>
      <c r="D26" s="3">
        <f t="shared" si="0"/>
        <v>16</v>
      </c>
    </row>
    <row r="27" spans="1:4" x14ac:dyDescent="0.25">
      <c r="A27">
        <v>22025</v>
      </c>
      <c r="B27" s="2">
        <f>AVERAGE('raw data'!B27:E27)</f>
        <v>83.25</v>
      </c>
      <c r="C27" s="5" t="str">
        <f t="shared" si="1"/>
        <v>A</v>
      </c>
      <c r="D27" s="3">
        <f t="shared" si="0"/>
        <v>14</v>
      </c>
    </row>
    <row r="28" spans="1:4" x14ac:dyDescent="0.25">
      <c r="A28">
        <v>22026</v>
      </c>
      <c r="B28" s="2">
        <f>AVERAGE('raw data'!B28:E28)</f>
        <v>83</v>
      </c>
      <c r="C28" s="5" t="str">
        <f t="shared" si="1"/>
        <v>A</v>
      </c>
      <c r="D28" s="3">
        <f t="shared" si="0"/>
        <v>15</v>
      </c>
    </row>
    <row r="29" spans="1:4" x14ac:dyDescent="0.25">
      <c r="A29">
        <v>22027</v>
      </c>
      <c r="B29" s="2">
        <f>AVERAGE('raw data'!B29:E29)</f>
        <v>58.5</v>
      </c>
      <c r="C29" s="5" t="str">
        <f t="shared" si="1"/>
        <v>C</v>
      </c>
      <c r="D29" s="3">
        <f t="shared" si="0"/>
        <v>40</v>
      </c>
    </row>
    <row r="30" spans="1:4" x14ac:dyDescent="0.25">
      <c r="A30">
        <v>22028</v>
      </c>
      <c r="B30" s="2">
        <f>AVERAGE('raw data'!B30:E30)</f>
        <v>74.25</v>
      </c>
      <c r="C30" s="5" t="str">
        <f t="shared" si="1"/>
        <v>A</v>
      </c>
      <c r="D30" s="3">
        <f t="shared" si="0"/>
        <v>22</v>
      </c>
    </row>
    <row r="31" spans="1:4" x14ac:dyDescent="0.25">
      <c r="A31">
        <v>22029</v>
      </c>
      <c r="B31" s="2">
        <f>AVERAGE('raw data'!B31:E31)</f>
        <v>62.75</v>
      </c>
      <c r="C31" s="5" t="str">
        <f t="shared" si="1"/>
        <v>B</v>
      </c>
      <c r="D31" s="3">
        <f t="shared" si="0"/>
        <v>31</v>
      </c>
    </row>
    <row r="32" spans="1:4" x14ac:dyDescent="0.25">
      <c r="A32">
        <v>22030</v>
      </c>
      <c r="B32" s="2">
        <f>AVERAGE('raw data'!B32:E32)</f>
        <v>47.5</v>
      </c>
      <c r="C32" s="5" t="str">
        <f t="shared" si="1"/>
        <v>D</v>
      </c>
      <c r="D32" s="3">
        <f t="shared" si="0"/>
        <v>46</v>
      </c>
    </row>
    <row r="33" spans="1:4" x14ac:dyDescent="0.25">
      <c r="A33">
        <v>22031</v>
      </c>
      <c r="B33" s="2">
        <f>AVERAGE('raw data'!B33:E33)</f>
        <v>92.75</v>
      </c>
      <c r="C33" s="5" t="str">
        <f t="shared" si="1"/>
        <v>A</v>
      </c>
      <c r="D33" s="3">
        <f t="shared" si="0"/>
        <v>6</v>
      </c>
    </row>
    <row r="34" spans="1:4" x14ac:dyDescent="0.25">
      <c r="A34">
        <v>22032</v>
      </c>
      <c r="B34" s="2">
        <f>AVERAGE('raw data'!B34:E34)</f>
        <v>94.5</v>
      </c>
      <c r="C34" s="5" t="str">
        <f t="shared" si="1"/>
        <v>A</v>
      </c>
      <c r="D34" s="3">
        <f t="shared" si="0"/>
        <v>4</v>
      </c>
    </row>
    <row r="35" spans="1:4" x14ac:dyDescent="0.25">
      <c r="A35">
        <v>22033</v>
      </c>
      <c r="B35" s="2">
        <f>AVERAGE('raw data'!B35:E35)</f>
        <v>61</v>
      </c>
      <c r="C35" s="5" t="str">
        <f t="shared" si="1"/>
        <v>B</v>
      </c>
      <c r="D35" s="3">
        <f t="shared" si="0"/>
        <v>35</v>
      </c>
    </row>
    <row r="36" spans="1:4" x14ac:dyDescent="0.25">
      <c r="A36">
        <v>22034</v>
      </c>
      <c r="B36" s="2">
        <f>AVERAGE('raw data'!B36:E36)</f>
        <v>84</v>
      </c>
      <c r="C36" s="5" t="str">
        <f t="shared" si="1"/>
        <v>A</v>
      </c>
      <c r="D36" s="3">
        <f t="shared" si="0"/>
        <v>13</v>
      </c>
    </row>
    <row r="37" spans="1:4" x14ac:dyDescent="0.25">
      <c r="A37">
        <v>22035</v>
      </c>
      <c r="B37" s="2">
        <f>AVERAGE('raw data'!B37:E37)</f>
        <v>59.25</v>
      </c>
      <c r="C37" s="5" t="b">
        <f t="shared" si="1"/>
        <v>0</v>
      </c>
      <c r="D37" s="3">
        <f t="shared" si="0"/>
        <v>38</v>
      </c>
    </row>
    <row r="38" spans="1:4" x14ac:dyDescent="0.25">
      <c r="A38">
        <v>22036</v>
      </c>
      <c r="B38" s="2">
        <f>AVERAGE('raw data'!B38:E38)</f>
        <v>94.5</v>
      </c>
      <c r="C38" s="5" t="str">
        <f t="shared" si="1"/>
        <v>A</v>
      </c>
      <c r="D38" s="3">
        <f t="shared" si="0"/>
        <v>4</v>
      </c>
    </row>
    <row r="39" spans="1:4" x14ac:dyDescent="0.25">
      <c r="A39">
        <v>22037</v>
      </c>
      <c r="B39" s="2">
        <f>AVERAGE('raw data'!B39:E39)</f>
        <v>80.75</v>
      </c>
      <c r="C39" s="5" t="str">
        <f t="shared" si="1"/>
        <v>A</v>
      </c>
      <c r="D39" s="3">
        <f t="shared" si="0"/>
        <v>18</v>
      </c>
    </row>
    <row r="40" spans="1:4" x14ac:dyDescent="0.25">
      <c r="A40">
        <v>22038</v>
      </c>
      <c r="B40" s="2">
        <f>AVERAGE('raw data'!B40:E40)</f>
        <v>84.5</v>
      </c>
      <c r="C40" s="5" t="str">
        <f t="shared" si="1"/>
        <v>A</v>
      </c>
      <c r="D40" s="3">
        <f t="shared" si="0"/>
        <v>12</v>
      </c>
    </row>
    <row r="41" spans="1:4" x14ac:dyDescent="0.25">
      <c r="A41">
        <v>22039</v>
      </c>
      <c r="B41" s="2">
        <f>AVERAGE('raw data'!B41:E41)</f>
        <v>60.5</v>
      </c>
      <c r="C41" s="5" t="str">
        <f t="shared" si="1"/>
        <v>B</v>
      </c>
      <c r="D41" s="3">
        <f t="shared" si="0"/>
        <v>36</v>
      </c>
    </row>
    <row r="42" spans="1:4" x14ac:dyDescent="0.25">
      <c r="A42">
        <v>22040</v>
      </c>
      <c r="B42" s="2">
        <f>AVERAGE('raw data'!B42:E42)</f>
        <v>85.25</v>
      </c>
      <c r="C42" s="5" t="str">
        <f t="shared" si="1"/>
        <v>A</v>
      </c>
      <c r="D42" s="3">
        <f t="shared" si="0"/>
        <v>10</v>
      </c>
    </row>
    <row r="43" spans="1:4" x14ac:dyDescent="0.25">
      <c r="A43">
        <v>22041</v>
      </c>
      <c r="B43" s="2">
        <f>AVERAGE('raw data'!B43:E43)</f>
        <v>78.75</v>
      </c>
      <c r="C43" s="5" t="str">
        <f t="shared" si="1"/>
        <v>A</v>
      </c>
      <c r="D43" s="3">
        <f t="shared" si="0"/>
        <v>19</v>
      </c>
    </row>
    <row r="44" spans="1:4" x14ac:dyDescent="0.25">
      <c r="A44">
        <v>22042</v>
      </c>
      <c r="B44" s="2">
        <f>AVERAGE('raw data'!B44:E44)</f>
        <v>96</v>
      </c>
      <c r="C44" s="5" t="str">
        <f t="shared" si="1"/>
        <v>A</v>
      </c>
      <c r="D44" s="3">
        <f t="shared" si="0"/>
        <v>2</v>
      </c>
    </row>
    <row r="45" spans="1:4" x14ac:dyDescent="0.25">
      <c r="A45">
        <v>22043</v>
      </c>
      <c r="B45" s="2">
        <f>AVERAGE('raw data'!B45:E45)</f>
        <v>64.75</v>
      </c>
      <c r="C45" s="5" t="str">
        <f t="shared" si="1"/>
        <v>B</v>
      </c>
      <c r="D45" s="3">
        <f t="shared" si="0"/>
        <v>30</v>
      </c>
    </row>
    <row r="46" spans="1:4" x14ac:dyDescent="0.25">
      <c r="A46">
        <v>22044</v>
      </c>
      <c r="B46" s="2">
        <f>AVERAGE('raw data'!B46:E46)</f>
        <v>91.75</v>
      </c>
      <c r="C46" s="5" t="str">
        <f t="shared" si="1"/>
        <v>A</v>
      </c>
      <c r="D46" s="3">
        <f t="shared" si="0"/>
        <v>7</v>
      </c>
    </row>
    <row r="47" spans="1:4" x14ac:dyDescent="0.25">
      <c r="A47">
        <v>22045</v>
      </c>
      <c r="B47" s="2">
        <f>AVERAGE('raw data'!B47:E47)</f>
        <v>87.75</v>
      </c>
      <c r="C47" s="5" t="str">
        <f t="shared" si="1"/>
        <v>A</v>
      </c>
      <c r="D47" s="3">
        <f t="shared" si="0"/>
        <v>9</v>
      </c>
    </row>
    <row r="48" spans="1:4" x14ac:dyDescent="0.25">
      <c r="A48">
        <v>22046</v>
      </c>
      <c r="B48" s="2">
        <f>AVERAGE('raw data'!B48:E48)</f>
        <v>43.25</v>
      </c>
      <c r="C48" s="5" t="str">
        <f t="shared" si="1"/>
        <v>D</v>
      </c>
      <c r="D48" s="3">
        <f t="shared" si="0"/>
        <v>50</v>
      </c>
    </row>
    <row r="49" spans="1:4" x14ac:dyDescent="0.25">
      <c r="A49">
        <v>22047</v>
      </c>
      <c r="B49" s="2">
        <f>AVERAGE('raw data'!B49:E49)</f>
        <v>45.5</v>
      </c>
      <c r="C49" s="5" t="str">
        <f t="shared" si="1"/>
        <v>D</v>
      </c>
      <c r="D49" s="3">
        <f t="shared" si="0"/>
        <v>47</v>
      </c>
    </row>
    <row r="50" spans="1:4" x14ac:dyDescent="0.25">
      <c r="A50">
        <v>22048</v>
      </c>
      <c r="B50" s="2">
        <f>AVERAGE('raw data'!B50:E50)</f>
        <v>45</v>
      </c>
      <c r="C50" s="5" t="str">
        <f t="shared" si="1"/>
        <v>D</v>
      </c>
      <c r="D50" s="3">
        <f t="shared" si="0"/>
        <v>48</v>
      </c>
    </row>
    <row r="51" spans="1:4" x14ac:dyDescent="0.25">
      <c r="A51">
        <v>22049</v>
      </c>
      <c r="B51" s="2">
        <f>AVERAGE('raw data'!B51:E51)</f>
        <v>61.5</v>
      </c>
      <c r="C51" s="5" t="str">
        <f t="shared" si="1"/>
        <v>B</v>
      </c>
      <c r="D51" s="3">
        <f t="shared" si="0"/>
        <v>34</v>
      </c>
    </row>
    <row r="52" spans="1:4" x14ac:dyDescent="0.25">
      <c r="A52">
        <v>22050</v>
      </c>
      <c r="B52" s="2">
        <f>AVERAGE('raw data'!B52:E52)</f>
        <v>50.25</v>
      </c>
      <c r="C52" s="5" t="str">
        <f t="shared" si="1"/>
        <v>C</v>
      </c>
      <c r="D52" s="3">
        <f t="shared" si="0"/>
        <v>45</v>
      </c>
    </row>
    <row r="53" spans="1:4" x14ac:dyDescent="0.25">
      <c r="A53">
        <v>22051</v>
      </c>
      <c r="B53" s="2">
        <f>AVERAGE('raw data'!B53:E53)</f>
        <v>66.5</v>
      </c>
      <c r="C53" s="5" t="str">
        <f t="shared" si="1"/>
        <v>B</v>
      </c>
      <c r="D53" s="3">
        <f t="shared" si="0"/>
        <v>28</v>
      </c>
    </row>
    <row r="54" spans="1:4" x14ac:dyDescent="0.25">
      <c r="A54">
        <v>22052</v>
      </c>
      <c r="B54" s="2">
        <f>AVERAGE('raw data'!B54:E54)</f>
        <v>65.25</v>
      </c>
      <c r="C54" s="5" t="str">
        <f t="shared" si="1"/>
        <v>B</v>
      </c>
      <c r="D54" s="3">
        <f t="shared" si="0"/>
        <v>29</v>
      </c>
    </row>
    <row r="55" spans="1:4" x14ac:dyDescent="0.25">
      <c r="A55">
        <v>22053</v>
      </c>
      <c r="B55" s="2">
        <f>AVERAGE('raw data'!B55:E55)</f>
        <v>98</v>
      </c>
      <c r="C55" s="5" t="str">
        <f t="shared" si="1"/>
        <v>A</v>
      </c>
      <c r="D55" s="3">
        <f t="shared" si="0"/>
        <v>1</v>
      </c>
    </row>
    <row r="56" spans="1:4" x14ac:dyDescent="0.25">
      <c r="A56">
        <v>22054</v>
      </c>
      <c r="B56" s="2">
        <f>AVERAGE('raw data'!B56:E56)</f>
        <v>56</v>
      </c>
      <c r="C56" s="5" t="str">
        <f t="shared" si="1"/>
        <v>C</v>
      </c>
      <c r="D56" s="3">
        <f t="shared" si="0"/>
        <v>42</v>
      </c>
    </row>
    <row r="57" spans="1:4" x14ac:dyDescent="0.25">
      <c r="A57">
        <v>22055</v>
      </c>
      <c r="B57" s="2">
        <f>AVERAGE('raw data'!B57:E57)</f>
        <v>54.25</v>
      </c>
      <c r="C57" s="5" t="str">
        <f t="shared" si="1"/>
        <v>C</v>
      </c>
      <c r="D57" s="3">
        <f t="shared" si="0"/>
        <v>43</v>
      </c>
    </row>
  </sheetData>
  <pageMargins left="0.7" right="0.7" top="0.75" bottom="0.75" header="0.3" footer="0.3"/>
  <pageSetup orientation="portrait" horizontalDpi="4294967295" verticalDpi="4294967295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>
      <selection activeCell="F17" sqref="F17"/>
    </sheetView>
  </sheetViews>
  <sheetFormatPr defaultRowHeight="15" x14ac:dyDescent="0.25"/>
  <cols>
    <col min="1" max="1" width="19.5703125" customWidth="1"/>
    <col min="2" max="2" width="11.85546875" customWidth="1"/>
    <col min="4" max="4" width="13.7109375" customWidth="1"/>
    <col min="5" max="5" width="13.140625" customWidth="1"/>
    <col min="6" max="6" width="14.7109375" customWidth="1"/>
    <col min="7" max="7" width="12.5703125" customWidth="1"/>
  </cols>
  <sheetData>
    <row r="1" spans="1:7" x14ac:dyDescent="0.25">
      <c r="A1" s="1" t="s">
        <v>15</v>
      </c>
      <c r="B1" s="1" t="s">
        <v>16</v>
      </c>
      <c r="C1" s="1" t="s">
        <v>17</v>
      </c>
      <c r="D1" s="1" t="s">
        <v>20</v>
      </c>
      <c r="E1" s="1" t="s">
        <v>21</v>
      </c>
      <c r="F1" s="1" t="s">
        <v>18</v>
      </c>
      <c r="G1" s="1" t="s">
        <v>19</v>
      </c>
    </row>
    <row r="2" spans="1:7" x14ac:dyDescent="0.25">
      <c r="A2" t="s">
        <v>1</v>
      </c>
      <c r="B2">
        <f>AVERAGE('raw data'!B2:B57)</f>
        <v>70.75</v>
      </c>
      <c r="C2">
        <f>MEDIAN('raw data'!B2:B57)</f>
        <v>70.5</v>
      </c>
      <c r="D2">
        <f>MAX('raw data'!B2:B57)</f>
        <v>100</v>
      </c>
      <c r="E2">
        <f>MIN('raw data'!B2:B57)</f>
        <v>40</v>
      </c>
      <c r="F2">
        <f>_xlfn.QUARTILE.INC('raw data'!B2:B57,1)</f>
        <v>57.75</v>
      </c>
      <c r="G2">
        <f>_xlfn.QUARTILE.INC('raw data'!B2:B57,3)</f>
        <v>84</v>
      </c>
    </row>
    <row r="3" spans="1:7" x14ac:dyDescent="0.25">
      <c r="A3" t="s">
        <v>2</v>
      </c>
      <c r="B3" s="2">
        <f>AVERAGE('raw data'!C2:C57)</f>
        <v>69.196428571428569</v>
      </c>
      <c r="C3">
        <f>MEDIAN('raw data'!C2:C57)</f>
        <v>68.5</v>
      </c>
      <c r="D3">
        <f>MAX('raw data'!C2:C57)</f>
        <v>100</v>
      </c>
      <c r="E3">
        <f>MIN('raw data'!C2:C57)</f>
        <v>34</v>
      </c>
      <c r="F3">
        <f>_xlfn.QUARTILE.INC('raw data'!C2:C57,1)</f>
        <v>55.75</v>
      </c>
      <c r="G3">
        <f>_xlfn.QUARTILE.INC('raw data'!C2:C57,3)</f>
        <v>83.25</v>
      </c>
    </row>
    <row r="4" spans="1:7" x14ac:dyDescent="0.25">
      <c r="A4" t="s">
        <v>3</v>
      </c>
      <c r="B4" s="2" t="e">
        <f>AVERAGE('raw data'!#REF!)</f>
        <v>#REF!</v>
      </c>
      <c r="C4" t="e">
        <f>MEDIAN('raw data'!#REF!)</f>
        <v>#REF!</v>
      </c>
      <c r="D4" t="e">
        <f>MAX('raw data'!#REF!)</f>
        <v>#REF!</v>
      </c>
      <c r="E4" t="e">
        <f>MIN('raw data'!#REF!)</f>
        <v>#REF!</v>
      </c>
      <c r="F4" t="e">
        <f>_xlfn.QUARTILE.INC('raw data'!#REF!,1)</f>
        <v>#REF!</v>
      </c>
      <c r="G4" t="e">
        <f>_xlfn.QUARTILE.INC('raw data'!#REF!,3)</f>
        <v>#REF!</v>
      </c>
    </row>
    <row r="5" spans="1:7" x14ac:dyDescent="0.25">
      <c r="A5" t="s">
        <v>4</v>
      </c>
      <c r="B5" s="2" t="e">
        <f>AVERAGE('raw data'!#REF!)</f>
        <v>#REF!</v>
      </c>
      <c r="C5" t="e">
        <f>MEDIAN('raw data'!#REF!)</f>
        <v>#REF!</v>
      </c>
      <c r="D5" t="e">
        <f>MAX('raw data'!#REF!)</f>
        <v>#REF!</v>
      </c>
      <c r="E5" t="e">
        <f>MIN('raw data'!#REF!)</f>
        <v>#REF!</v>
      </c>
      <c r="F5" t="e">
        <f>_xlfn.QUARTILE.INC('raw data'!#REF!,1)</f>
        <v>#REF!</v>
      </c>
      <c r="G5" t="e">
        <f>_xlfn.QUARTILE.INC('raw data'!#REF!,3)</f>
        <v>#REF!</v>
      </c>
    </row>
    <row r="6" spans="1:7" x14ac:dyDescent="0.25">
      <c r="A6" t="s">
        <v>5</v>
      </c>
      <c r="B6" s="2" t="e">
        <f>AVERAGE('raw data'!#REF!)</f>
        <v>#REF!</v>
      </c>
      <c r="C6" t="e">
        <f>MEDIAN('raw data'!#REF!)</f>
        <v>#REF!</v>
      </c>
      <c r="D6" t="e">
        <f>MAX('raw data'!#REF!)</f>
        <v>#REF!</v>
      </c>
      <c r="E6" t="e">
        <f>MIN('raw data'!#REF!)</f>
        <v>#REF!</v>
      </c>
      <c r="F6" t="e">
        <f>_xlfn.QUARTILE.INC('raw data'!#REF!,1)</f>
        <v>#REF!</v>
      </c>
      <c r="G6" t="e">
        <f>_xlfn.QUARTILE.INC('raw data'!#REF!,3)</f>
        <v>#REF!</v>
      </c>
    </row>
    <row r="7" spans="1:7" x14ac:dyDescent="0.25">
      <c r="A7" t="s">
        <v>6</v>
      </c>
      <c r="B7">
        <f>AVERAGE('raw data'!D2:D57)</f>
        <v>66</v>
      </c>
      <c r="C7">
        <f>MEDIAN('raw data'!D2:D57)</f>
        <v>65.5</v>
      </c>
      <c r="D7">
        <f>MAX('raw data'!D2:D57)</f>
        <v>100</v>
      </c>
      <c r="E7">
        <f>MIN('raw data'!D2:D57)</f>
        <v>29</v>
      </c>
      <c r="F7">
        <f>_xlfn.QUARTILE.INC('raw data'!D2:D57,1)</f>
        <v>50.25</v>
      </c>
      <c r="G7">
        <f>_xlfn.QUARTILE.INC('raw data'!D2:D57,3)</f>
        <v>83.75</v>
      </c>
    </row>
    <row r="8" spans="1:7" x14ac:dyDescent="0.25">
      <c r="A8" t="s">
        <v>7</v>
      </c>
      <c r="B8" s="2" t="e">
        <f>AVERAGE('raw data'!#REF!)</f>
        <v>#REF!</v>
      </c>
      <c r="C8" t="e">
        <f>MEDIAN('raw data'!#REF!)</f>
        <v>#REF!</v>
      </c>
      <c r="D8" t="e">
        <f>MAX('raw data'!#REF!)</f>
        <v>#REF!</v>
      </c>
      <c r="E8" t="e">
        <f>MIN('raw data'!#REF!)</f>
        <v>#REF!</v>
      </c>
      <c r="F8" t="e">
        <f>_xlfn.QUARTILE.INC('raw data'!#REF!,1)</f>
        <v>#REF!</v>
      </c>
      <c r="G8" t="e">
        <f>_xlfn.QUARTILE.INC('raw data'!#REF!,3)</f>
        <v>#REF!</v>
      </c>
    </row>
    <row r="9" spans="1:7" x14ac:dyDescent="0.25">
      <c r="A9" t="s">
        <v>8</v>
      </c>
      <c r="B9" s="2" t="e">
        <f>AVERAGE('raw data'!#REF!)</f>
        <v>#REF!</v>
      </c>
      <c r="C9" t="e">
        <f>MEDIAN('raw data'!#REF!)</f>
        <v>#REF!</v>
      </c>
      <c r="D9" t="e">
        <f>MAX('raw data'!#REF!)</f>
        <v>#REF!</v>
      </c>
      <c r="E9" t="e">
        <f>MIN('raw data'!#REF!)</f>
        <v>#REF!</v>
      </c>
      <c r="F9" t="e">
        <f>_xlfn.QUARTILE.INC('raw data'!#REF!,1)</f>
        <v>#REF!</v>
      </c>
      <c r="G9" t="e">
        <f>_xlfn.QUARTILE.INC('raw data'!#REF!,3)</f>
        <v>#REF!</v>
      </c>
    </row>
    <row r="10" spans="1:7" x14ac:dyDescent="0.25">
      <c r="A10" t="s">
        <v>9</v>
      </c>
      <c r="B10" s="2" t="e">
        <f>AVERAGE('raw data'!#REF!)</f>
        <v>#REF!</v>
      </c>
      <c r="C10" t="e">
        <f>MEDIAN('raw data'!#REF!)</f>
        <v>#REF!</v>
      </c>
      <c r="D10" t="e">
        <f>MAX('raw data'!#REF!)</f>
        <v>#REF!</v>
      </c>
      <c r="E10" t="e">
        <f>MIN('raw data'!#REF!)</f>
        <v>#REF!</v>
      </c>
      <c r="F10" t="e">
        <f>_xlfn.QUARTILE.INC('raw data'!#REF!,1)</f>
        <v>#REF!</v>
      </c>
      <c r="G10" t="e">
        <f>_xlfn.QUARTILE.INC('raw data'!#REF!,3)</f>
        <v>#REF!</v>
      </c>
    </row>
    <row r="11" spans="1:7" x14ac:dyDescent="0.25">
      <c r="A11" t="s">
        <v>10</v>
      </c>
      <c r="B11">
        <f>AVERAGE('raw data'!E2:E58)</f>
        <v>64.25</v>
      </c>
      <c r="C11">
        <f>MEDIAN('raw data'!E2:E57)</f>
        <v>65.5</v>
      </c>
      <c r="D11">
        <f>MAX('raw data'!E2:E57)</f>
        <v>100</v>
      </c>
      <c r="E11">
        <f>MIN('raw data'!E2:E57)</f>
        <v>12</v>
      </c>
      <c r="F11">
        <f>_xlfn.QUARTILE.INC('raw data'!E2:E57,1)</f>
        <v>45.75</v>
      </c>
      <c r="G11">
        <f>_xlfn.QUARTILE.INC('raw data'!E2:E57,3)</f>
        <v>83.25</v>
      </c>
    </row>
    <row r="12" spans="1:7" x14ac:dyDescent="0.25">
      <c r="A12" t="s">
        <v>11</v>
      </c>
      <c r="B12" s="2" t="e">
        <f>AVERAGE('raw data'!#REF!)</f>
        <v>#REF!</v>
      </c>
      <c r="C12" t="e">
        <f>MEDIAN('raw data'!#REF!)</f>
        <v>#REF!</v>
      </c>
      <c r="D12" t="e">
        <f>MAX('raw data'!#REF!)</f>
        <v>#REF!</v>
      </c>
      <c r="E12" t="e">
        <f>MIN('raw data'!#REF!)</f>
        <v>#REF!</v>
      </c>
      <c r="F12" t="e">
        <f>_xlfn.QUARTILE.INC('raw data'!#REF!,1)</f>
        <v>#REF!</v>
      </c>
      <c r="G12" t="e">
        <f>_xlfn.QUARTILE.INC('raw data'!#REF!,3)</f>
        <v>#REF!</v>
      </c>
    </row>
    <row r="13" spans="1:7" x14ac:dyDescent="0.25">
      <c r="A13" t="s">
        <v>12</v>
      </c>
      <c r="B13" s="2" t="e">
        <f>AVERAGE('raw data'!#REF!)</f>
        <v>#REF!</v>
      </c>
      <c r="C13" t="e">
        <f>MEDIAN('raw data'!#REF!)</f>
        <v>#REF!</v>
      </c>
      <c r="D13" t="e">
        <f>MAX('raw data'!#REF!)</f>
        <v>#REF!</v>
      </c>
      <c r="E13" t="e">
        <f>MIN('raw data'!#REF!)</f>
        <v>#REF!</v>
      </c>
      <c r="F13" t="e">
        <f>_xlfn.QUARTILE.INC('raw data'!#REF!,1)</f>
        <v>#REF!</v>
      </c>
      <c r="G13" t="e">
        <f>_xlfn.QUARTILE.INC('raw data'!#REF!,3)</f>
        <v>#REF!</v>
      </c>
    </row>
  </sheetData>
  <pageMargins left="0.7" right="0.7" top="0.75" bottom="0.75" header="0.3" footer="0.3"/>
  <pageSetup orientation="portrait" horizontalDpi="4294967295" verticalDpi="4294967295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7"/>
  <sheetViews>
    <sheetView workbookViewId="0">
      <selection activeCell="N15" sqref="N15"/>
    </sheetView>
  </sheetViews>
  <sheetFormatPr defaultRowHeight="15" x14ac:dyDescent="0.25"/>
  <cols>
    <col min="1" max="1" width="11" customWidth="1"/>
    <col min="2" max="2" width="15.5703125" customWidth="1"/>
    <col min="3" max="3" width="10.28515625" style="3" customWidth="1"/>
  </cols>
  <sheetData>
    <row r="1" spans="1:12" x14ac:dyDescent="0.25">
      <c r="A1" s="1" t="s">
        <v>0</v>
      </c>
      <c r="B1" s="1" t="s">
        <v>13</v>
      </c>
      <c r="C1" s="8" t="s">
        <v>24</v>
      </c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>
        <v>22000</v>
      </c>
      <c r="B2" s="2">
        <f>AVERAGE('raw data'!B2:E2)</f>
        <v>90.75</v>
      </c>
      <c r="C2" s="3">
        <v>50</v>
      </c>
    </row>
    <row r="3" spans="1:12" x14ac:dyDescent="0.25">
      <c r="A3">
        <v>22001</v>
      </c>
      <c r="B3" s="2">
        <f>AVERAGE('raw data'!B3:E3)</f>
        <v>69.5</v>
      </c>
      <c r="C3" s="3">
        <v>50</v>
      </c>
    </row>
    <row r="4" spans="1:12" x14ac:dyDescent="0.25">
      <c r="A4">
        <v>22002</v>
      </c>
      <c r="B4" s="2">
        <f>AVERAGE('raw data'!B4:E4)</f>
        <v>74.75</v>
      </c>
      <c r="C4" s="3">
        <v>50</v>
      </c>
    </row>
    <row r="5" spans="1:12" x14ac:dyDescent="0.25">
      <c r="A5">
        <v>22003</v>
      </c>
      <c r="B5" s="2">
        <f>AVERAGE('raw data'!B5:E5)</f>
        <v>59.5</v>
      </c>
      <c r="C5" s="3">
        <v>50</v>
      </c>
    </row>
    <row r="6" spans="1:12" x14ac:dyDescent="0.25">
      <c r="A6">
        <v>22004</v>
      </c>
      <c r="B6" s="2">
        <f>AVERAGE('raw data'!B6:E6)</f>
        <v>95.25</v>
      </c>
      <c r="C6" s="3">
        <v>50</v>
      </c>
    </row>
    <row r="7" spans="1:12" x14ac:dyDescent="0.25">
      <c r="A7">
        <v>22005</v>
      </c>
      <c r="B7" s="2">
        <f>AVERAGE('raw data'!B7:E7)</f>
        <v>33.75</v>
      </c>
      <c r="C7" s="3">
        <v>50</v>
      </c>
    </row>
    <row r="8" spans="1:12" x14ac:dyDescent="0.25">
      <c r="A8">
        <v>22006</v>
      </c>
      <c r="B8" s="2">
        <f>AVERAGE('raw data'!B8:E8)</f>
        <v>62</v>
      </c>
      <c r="C8" s="3">
        <v>50</v>
      </c>
    </row>
    <row r="9" spans="1:12" x14ac:dyDescent="0.25">
      <c r="A9">
        <v>22007</v>
      </c>
      <c r="B9" s="2">
        <f>AVERAGE('raw data'!B9:E9)</f>
        <v>71.75</v>
      </c>
      <c r="C9" s="3">
        <v>50</v>
      </c>
    </row>
    <row r="10" spans="1:12" x14ac:dyDescent="0.25">
      <c r="A10">
        <v>22008</v>
      </c>
      <c r="B10" s="2">
        <f>AVERAGE('raw data'!B10:E10)</f>
        <v>58</v>
      </c>
      <c r="C10" s="3">
        <v>50</v>
      </c>
    </row>
    <row r="11" spans="1:12" x14ac:dyDescent="0.25">
      <c r="A11">
        <v>22009</v>
      </c>
      <c r="B11" s="2">
        <f>AVERAGE('raw data'!B11:E11)</f>
        <v>68.5</v>
      </c>
      <c r="C11" s="3">
        <v>50</v>
      </c>
    </row>
    <row r="12" spans="1:12" x14ac:dyDescent="0.25">
      <c r="A12">
        <v>22010</v>
      </c>
      <c r="B12" s="2">
        <f>AVERAGE('raw data'!B12:E12)</f>
        <v>39.25</v>
      </c>
      <c r="C12" s="3">
        <v>50</v>
      </c>
    </row>
    <row r="13" spans="1:12" x14ac:dyDescent="0.25">
      <c r="A13">
        <v>22011</v>
      </c>
      <c r="B13" s="2">
        <f>AVERAGE('raw data'!B13:E13)</f>
        <v>81.5</v>
      </c>
      <c r="C13" s="3">
        <v>50</v>
      </c>
    </row>
    <row r="14" spans="1:12" x14ac:dyDescent="0.25">
      <c r="A14">
        <v>22012</v>
      </c>
      <c r="B14" s="2">
        <f>AVERAGE('raw data'!B14:E14)</f>
        <v>84.75</v>
      </c>
      <c r="C14" s="3">
        <v>50</v>
      </c>
    </row>
    <row r="15" spans="1:12" x14ac:dyDescent="0.25">
      <c r="A15">
        <v>22013</v>
      </c>
      <c r="B15" s="2">
        <f>AVERAGE('raw data'!B15:E15)</f>
        <v>38</v>
      </c>
      <c r="C15" s="3">
        <v>50</v>
      </c>
    </row>
    <row r="16" spans="1:12" x14ac:dyDescent="0.25">
      <c r="A16">
        <v>22014</v>
      </c>
      <c r="B16" s="2">
        <f>AVERAGE('raw data'!B16:E16)</f>
        <v>74.75</v>
      </c>
      <c r="C16" s="3">
        <v>50</v>
      </c>
    </row>
    <row r="17" spans="1:3" x14ac:dyDescent="0.25">
      <c r="A17">
        <v>22015</v>
      </c>
      <c r="B17" s="2">
        <f>AVERAGE('raw data'!B17:E17)</f>
        <v>73</v>
      </c>
      <c r="C17" s="3">
        <v>50</v>
      </c>
    </row>
    <row r="18" spans="1:3" x14ac:dyDescent="0.25">
      <c r="A18">
        <v>22016</v>
      </c>
      <c r="B18" s="2">
        <f>AVERAGE('raw data'!B18:E18)</f>
        <v>73.5</v>
      </c>
      <c r="C18" s="3">
        <v>50</v>
      </c>
    </row>
    <row r="19" spans="1:3" x14ac:dyDescent="0.25">
      <c r="A19">
        <v>22017</v>
      </c>
      <c r="B19" s="2">
        <f>AVERAGE('raw data'!B19:E19)</f>
        <v>43</v>
      </c>
      <c r="C19" s="3">
        <v>50</v>
      </c>
    </row>
    <row r="20" spans="1:3" x14ac:dyDescent="0.25">
      <c r="A20">
        <v>22018</v>
      </c>
      <c r="B20" s="2">
        <f>AVERAGE('raw data'!B20:E20)</f>
        <v>62.5</v>
      </c>
      <c r="C20" s="3">
        <v>50</v>
      </c>
    </row>
    <row r="21" spans="1:3" x14ac:dyDescent="0.25">
      <c r="A21">
        <v>22019</v>
      </c>
      <c r="B21" s="2">
        <f>AVERAGE('raw data'!B21:E21)</f>
        <v>59.25</v>
      </c>
      <c r="C21" s="3">
        <v>50</v>
      </c>
    </row>
    <row r="22" spans="1:3" x14ac:dyDescent="0.25">
      <c r="A22">
        <v>22020</v>
      </c>
      <c r="B22" s="2">
        <f>AVERAGE('raw data'!B22:E22)</f>
        <v>40.25</v>
      </c>
      <c r="C22" s="3">
        <v>50</v>
      </c>
    </row>
    <row r="23" spans="1:3" x14ac:dyDescent="0.25">
      <c r="A23">
        <v>22021</v>
      </c>
      <c r="B23" s="2">
        <f>AVERAGE('raw data'!B23:E23)</f>
        <v>45</v>
      </c>
      <c r="C23" s="3">
        <v>50</v>
      </c>
    </row>
    <row r="24" spans="1:3" x14ac:dyDescent="0.25">
      <c r="A24">
        <v>22022</v>
      </c>
      <c r="B24" s="2">
        <f>AVERAGE('raw data'!B24:E24)</f>
        <v>38.25</v>
      </c>
      <c r="C24" s="3">
        <v>50</v>
      </c>
    </row>
    <row r="25" spans="1:3" x14ac:dyDescent="0.25">
      <c r="A25">
        <v>22023</v>
      </c>
      <c r="B25" s="2">
        <f>AVERAGE('raw data'!B25:E25)</f>
        <v>53</v>
      </c>
      <c r="C25" s="3">
        <v>50</v>
      </c>
    </row>
    <row r="26" spans="1:3" x14ac:dyDescent="0.25">
      <c r="A26">
        <v>22024</v>
      </c>
      <c r="B26" s="2">
        <f>AVERAGE('raw data'!B26:E26)</f>
        <v>82.25</v>
      </c>
      <c r="C26" s="3">
        <v>50</v>
      </c>
    </row>
    <row r="27" spans="1:3" x14ac:dyDescent="0.25">
      <c r="A27">
        <v>22025</v>
      </c>
      <c r="B27" s="2">
        <f>AVERAGE('raw data'!B27:E27)</f>
        <v>83.25</v>
      </c>
      <c r="C27" s="3">
        <v>50</v>
      </c>
    </row>
    <row r="28" spans="1:3" x14ac:dyDescent="0.25">
      <c r="A28">
        <v>22026</v>
      </c>
      <c r="B28" s="2">
        <f>AVERAGE('raw data'!B28:E28)</f>
        <v>83</v>
      </c>
      <c r="C28" s="3">
        <v>50</v>
      </c>
    </row>
    <row r="29" spans="1:3" x14ac:dyDescent="0.25">
      <c r="A29">
        <v>22027</v>
      </c>
      <c r="B29" s="2">
        <f>AVERAGE('raw data'!B29:E29)</f>
        <v>58.5</v>
      </c>
      <c r="C29" s="3">
        <v>50</v>
      </c>
    </row>
    <row r="30" spans="1:3" x14ac:dyDescent="0.25">
      <c r="A30">
        <v>22028</v>
      </c>
      <c r="B30" s="2">
        <f>AVERAGE('raw data'!B30:E30)</f>
        <v>74.25</v>
      </c>
      <c r="C30" s="3">
        <v>50</v>
      </c>
    </row>
    <row r="31" spans="1:3" x14ac:dyDescent="0.25">
      <c r="A31">
        <v>22029</v>
      </c>
      <c r="B31" s="2">
        <f>AVERAGE('raw data'!B31:E31)</f>
        <v>62.75</v>
      </c>
      <c r="C31" s="3">
        <v>50</v>
      </c>
    </row>
    <row r="32" spans="1:3" x14ac:dyDescent="0.25">
      <c r="A32">
        <v>22030</v>
      </c>
      <c r="B32" s="2">
        <f>AVERAGE('raw data'!B32:E32)</f>
        <v>47.5</v>
      </c>
      <c r="C32" s="3">
        <v>50</v>
      </c>
    </row>
    <row r="33" spans="1:3" x14ac:dyDescent="0.25">
      <c r="A33">
        <v>22031</v>
      </c>
      <c r="B33" s="2">
        <f>AVERAGE('raw data'!B33:E33)</f>
        <v>92.75</v>
      </c>
      <c r="C33" s="3">
        <v>50</v>
      </c>
    </row>
    <row r="34" spans="1:3" x14ac:dyDescent="0.25">
      <c r="A34">
        <v>22032</v>
      </c>
      <c r="B34" s="2">
        <f>AVERAGE('raw data'!B34:E34)</f>
        <v>94.5</v>
      </c>
      <c r="C34" s="3">
        <v>50</v>
      </c>
    </row>
    <row r="35" spans="1:3" x14ac:dyDescent="0.25">
      <c r="A35">
        <v>22033</v>
      </c>
      <c r="B35" s="2">
        <f>AVERAGE('raw data'!B35:E35)</f>
        <v>61</v>
      </c>
      <c r="C35" s="3">
        <v>50</v>
      </c>
    </row>
    <row r="36" spans="1:3" x14ac:dyDescent="0.25">
      <c r="A36">
        <v>22034</v>
      </c>
      <c r="B36" s="2">
        <f>AVERAGE('raw data'!B36:E36)</f>
        <v>84</v>
      </c>
      <c r="C36" s="3">
        <v>50</v>
      </c>
    </row>
    <row r="37" spans="1:3" x14ac:dyDescent="0.25">
      <c r="A37">
        <v>22035</v>
      </c>
      <c r="B37" s="2">
        <f>AVERAGE('raw data'!B37:E37)</f>
        <v>59.25</v>
      </c>
      <c r="C37" s="3">
        <v>50</v>
      </c>
    </row>
    <row r="38" spans="1:3" x14ac:dyDescent="0.25">
      <c r="A38">
        <v>22036</v>
      </c>
      <c r="B38" s="2">
        <f>AVERAGE('raw data'!B38:E38)</f>
        <v>94.5</v>
      </c>
      <c r="C38" s="3">
        <v>50</v>
      </c>
    </row>
    <row r="39" spans="1:3" x14ac:dyDescent="0.25">
      <c r="A39">
        <v>22037</v>
      </c>
      <c r="B39" s="2">
        <f>AVERAGE('raw data'!B39:E39)</f>
        <v>80.75</v>
      </c>
      <c r="C39" s="3">
        <v>50</v>
      </c>
    </row>
    <row r="40" spans="1:3" x14ac:dyDescent="0.25">
      <c r="A40">
        <v>22038</v>
      </c>
      <c r="B40" s="2">
        <f>AVERAGE('raw data'!B40:E40)</f>
        <v>84.5</v>
      </c>
      <c r="C40" s="3">
        <v>50</v>
      </c>
    </row>
    <row r="41" spans="1:3" x14ac:dyDescent="0.25">
      <c r="A41">
        <v>22039</v>
      </c>
      <c r="B41" s="2">
        <f>AVERAGE('raw data'!B41:E41)</f>
        <v>60.5</v>
      </c>
      <c r="C41" s="3">
        <v>50</v>
      </c>
    </row>
    <row r="42" spans="1:3" x14ac:dyDescent="0.25">
      <c r="A42">
        <v>22040</v>
      </c>
      <c r="B42" s="2">
        <f>AVERAGE('raw data'!B42:E42)</f>
        <v>85.25</v>
      </c>
      <c r="C42" s="3">
        <v>50</v>
      </c>
    </row>
    <row r="43" spans="1:3" x14ac:dyDescent="0.25">
      <c r="A43">
        <v>22041</v>
      </c>
      <c r="B43" s="2">
        <f>AVERAGE('raw data'!B43:E43)</f>
        <v>78.75</v>
      </c>
      <c r="C43" s="3">
        <v>50</v>
      </c>
    </row>
    <row r="44" spans="1:3" x14ac:dyDescent="0.25">
      <c r="A44">
        <v>22042</v>
      </c>
      <c r="B44" s="2">
        <f>AVERAGE('raw data'!B44:E44)</f>
        <v>96</v>
      </c>
      <c r="C44" s="3">
        <v>50</v>
      </c>
    </row>
    <row r="45" spans="1:3" x14ac:dyDescent="0.25">
      <c r="A45">
        <v>22043</v>
      </c>
      <c r="B45" s="2">
        <f>AVERAGE('raw data'!B45:E45)</f>
        <v>64.75</v>
      </c>
      <c r="C45" s="3">
        <v>50</v>
      </c>
    </row>
    <row r="46" spans="1:3" x14ac:dyDescent="0.25">
      <c r="A46">
        <v>22044</v>
      </c>
      <c r="B46" s="2">
        <f>AVERAGE('raw data'!B46:E46)</f>
        <v>91.75</v>
      </c>
      <c r="C46" s="3">
        <v>50</v>
      </c>
    </row>
    <row r="47" spans="1:3" x14ac:dyDescent="0.25">
      <c r="A47">
        <v>22045</v>
      </c>
      <c r="B47" s="2">
        <f>AVERAGE('raw data'!B47:E47)</f>
        <v>87.75</v>
      </c>
      <c r="C47" s="3">
        <v>50</v>
      </c>
    </row>
    <row r="48" spans="1:3" x14ac:dyDescent="0.25">
      <c r="A48">
        <v>22046</v>
      </c>
      <c r="B48" s="2">
        <f>AVERAGE('raw data'!B48:E48)</f>
        <v>43.25</v>
      </c>
      <c r="C48" s="3">
        <v>50</v>
      </c>
    </row>
    <row r="49" spans="1:3" x14ac:dyDescent="0.25">
      <c r="A49">
        <v>22047</v>
      </c>
      <c r="B49" s="2">
        <f>AVERAGE('raw data'!B49:E49)</f>
        <v>45.5</v>
      </c>
      <c r="C49" s="3">
        <v>50</v>
      </c>
    </row>
    <row r="50" spans="1:3" x14ac:dyDescent="0.25">
      <c r="A50">
        <v>22048</v>
      </c>
      <c r="B50" s="2">
        <f>AVERAGE('raw data'!B50:E50)</f>
        <v>45</v>
      </c>
      <c r="C50" s="3">
        <v>50</v>
      </c>
    </row>
    <row r="51" spans="1:3" x14ac:dyDescent="0.25">
      <c r="A51">
        <v>22049</v>
      </c>
      <c r="B51" s="2">
        <f>AVERAGE('raw data'!B51:E51)</f>
        <v>61.5</v>
      </c>
      <c r="C51" s="3">
        <v>50</v>
      </c>
    </row>
    <row r="52" spans="1:3" x14ac:dyDescent="0.25">
      <c r="A52">
        <v>22050</v>
      </c>
      <c r="B52" s="2">
        <f>AVERAGE('raw data'!B52:E52)</f>
        <v>50.25</v>
      </c>
      <c r="C52" s="3">
        <v>50</v>
      </c>
    </row>
    <row r="53" spans="1:3" x14ac:dyDescent="0.25">
      <c r="A53">
        <v>22051</v>
      </c>
      <c r="B53" s="2">
        <f>AVERAGE('raw data'!B53:E53)</f>
        <v>66.5</v>
      </c>
      <c r="C53" s="3">
        <v>50</v>
      </c>
    </row>
    <row r="54" spans="1:3" x14ac:dyDescent="0.25">
      <c r="A54">
        <v>22052</v>
      </c>
      <c r="B54" s="2">
        <f>AVERAGE('raw data'!B54:E54)</f>
        <v>65.25</v>
      </c>
      <c r="C54" s="3">
        <v>50</v>
      </c>
    </row>
    <row r="55" spans="1:3" x14ac:dyDescent="0.25">
      <c r="A55">
        <v>22053</v>
      </c>
      <c r="B55" s="2">
        <f>AVERAGE('raw data'!B55:E55)</f>
        <v>98</v>
      </c>
      <c r="C55" s="3">
        <v>50</v>
      </c>
    </row>
    <row r="56" spans="1:3" x14ac:dyDescent="0.25">
      <c r="A56">
        <v>22054</v>
      </c>
      <c r="B56" s="2">
        <f>AVERAGE('raw data'!B56:E56)</f>
        <v>56</v>
      </c>
      <c r="C56" s="3">
        <v>50</v>
      </c>
    </row>
    <row r="57" spans="1:3" x14ac:dyDescent="0.25">
      <c r="A57">
        <v>22055</v>
      </c>
      <c r="B57" s="2">
        <f>AVERAGE('raw data'!B57:E57)</f>
        <v>54.25</v>
      </c>
      <c r="C57" s="3">
        <v>50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students analysis</vt:lpstr>
      <vt:lpstr>subjects summary data</vt:lpstr>
      <vt:lpstr>students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emmyslim</dc:creator>
  <cp:lastModifiedBy>charan26kumar@outlook.com</cp:lastModifiedBy>
  <dcterms:created xsi:type="dcterms:W3CDTF">2025-10-17T13:08:04Z</dcterms:created>
  <dcterms:modified xsi:type="dcterms:W3CDTF">2026-08-12T09:17:03Z</dcterms:modified>
</cp:coreProperties>
</file>